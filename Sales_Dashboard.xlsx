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OneDrive\Desktop\da\Projects\"/>
    </mc:Choice>
  </mc:AlternateContent>
  <bookViews>
    <workbookView xWindow="0" yWindow="0" windowWidth="12450" windowHeight="4290" firstSheet="1" activeTab="2"/>
  </bookViews>
  <sheets>
    <sheet name="Sales Performance Dashboard" sheetId="7" r:id="rId1"/>
    <sheet name="pivots" sheetId="9" r:id="rId2"/>
    <sheet name="SALES DASHBOARD" sheetId="10" r:id="rId3"/>
    <sheet name="Sales_Data_Raw" sheetId="1" r:id="rId4"/>
  </sheets>
  <definedNames>
    <definedName name="_xlcn.WorksheetConnection_Sales_Dashboard_Dataset.xlsxTable11" hidden="1">Table1[]</definedName>
    <definedName name="Slicer_Category">#N/A</definedName>
    <definedName name="Slicer_Region">#N/A</definedName>
  </definedNames>
  <calcPr calcId="152511"/>
  <pivotCaches>
    <pivotCache cacheId="14" r:id="rId5"/>
    <pivotCache cacheId="25" r:id="rId6"/>
    <pivotCache cacheId="2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5056f450-88ab-48bc-9a7b-b3dcc62dd0de" name="Table1" connection="WorksheetConnection_Sales_Dashboard_Dataset.xlsx!Table1"/>
        </x15:modelTables>
      </x15:dataModel>
    </ext>
  </extLst>
</workbook>
</file>

<file path=xl/calcChain.xml><?xml version="1.0" encoding="utf-8"?>
<calcChain xmlns="http://schemas.openxmlformats.org/spreadsheetml/2006/main">
  <c r="J2" i="1" l="1"/>
  <c r="J3" i="1"/>
  <c r="J4" i="1"/>
  <c r="J5" i="1"/>
  <c r="J6" i="1"/>
  <c r="J7" i="1"/>
  <c r="J8" i="1"/>
  <c r="J9" i="1"/>
  <c r="J10" i="1"/>
  <c r="J11" i="1"/>
  <c r="J12" i="1"/>
  <c r="J13" i="1"/>
  <c r="I2" i="1"/>
  <c r="I3" i="1"/>
  <c r="I4" i="1"/>
  <c r="I5" i="1"/>
  <c r="I6" i="1"/>
  <c r="I7" i="1"/>
  <c r="I8" i="1"/>
  <c r="I9" i="1"/>
  <c r="I10" i="1"/>
  <c r="I11" i="1"/>
  <c r="I12" i="1"/>
  <c r="I13"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ales_Dashboard_Dataset.xlsx!Table1" type="102" refreshedVersion="5" minRefreshableVersion="5">
    <extLst>
      <ext xmlns:x15="http://schemas.microsoft.com/office/spreadsheetml/2010/11/main" uri="{DE250136-89BD-433C-8126-D09CA5730AF9}">
        <x15:connection id="Table1-5056f450-88ab-48bc-9a7b-b3dcc62dd0de" autoDelete="1">
          <x15:rangePr sourceName="_xlcn.WorksheetConnection_Sales_Dashboard_Dataset.xlsxTable11"/>
        </x15:connection>
      </ext>
    </extLst>
  </connection>
</connections>
</file>

<file path=xl/sharedStrings.xml><?xml version="1.0" encoding="utf-8"?>
<sst xmlns="http://schemas.openxmlformats.org/spreadsheetml/2006/main" count="109" uniqueCount="58">
  <si>
    <t>Order ID</t>
  </si>
  <si>
    <t>Date</t>
  </si>
  <si>
    <t>Customer Name</t>
  </si>
  <si>
    <t>Region</t>
  </si>
  <si>
    <t>Product</t>
  </si>
  <si>
    <t>Category</t>
  </si>
  <si>
    <t>Sales Amount</t>
  </si>
  <si>
    <t>Quantity</t>
  </si>
  <si>
    <t>01-01-2024</t>
  </si>
  <si>
    <t>Asha</t>
  </si>
  <si>
    <t>South</t>
  </si>
  <si>
    <t>Laptop</t>
  </si>
  <si>
    <t>Electronics</t>
  </si>
  <si>
    <t>02-01-2024</t>
  </si>
  <si>
    <t>Ravi</t>
  </si>
  <si>
    <t>North</t>
  </si>
  <si>
    <t>Phone</t>
  </si>
  <si>
    <t>03-01-2024</t>
  </si>
  <si>
    <t>John</t>
  </si>
  <si>
    <t>East</t>
  </si>
  <si>
    <t>Tablet</t>
  </si>
  <si>
    <t>04-01-2024</t>
  </si>
  <si>
    <t>Meena</t>
  </si>
  <si>
    <t>West</t>
  </si>
  <si>
    <t>Chair</t>
  </si>
  <si>
    <t>Furniture</t>
  </si>
  <si>
    <t>05-01-2024</t>
  </si>
  <si>
    <t>Arun</t>
  </si>
  <si>
    <t>Table</t>
  </si>
  <si>
    <t>06-01-2024</t>
  </si>
  <si>
    <t>Priya</t>
  </si>
  <si>
    <t>Headphones</t>
  </si>
  <si>
    <t>07-01-2024</t>
  </si>
  <si>
    <t>Kiran</t>
  </si>
  <si>
    <t>Sofa</t>
  </si>
  <si>
    <t>08-01-2024</t>
  </si>
  <si>
    <t>Divya</t>
  </si>
  <si>
    <t>09-01-2024</t>
  </si>
  <si>
    <t>Manoj</t>
  </si>
  <si>
    <t>10-01-2024</t>
  </si>
  <si>
    <t>Sneha</t>
  </si>
  <si>
    <t>11-01-2024</t>
  </si>
  <si>
    <t>Rahul</t>
  </si>
  <si>
    <t>12-01-2024</t>
  </si>
  <si>
    <t>Anu</t>
  </si>
  <si>
    <t>month</t>
  </si>
  <si>
    <t>sales category</t>
  </si>
  <si>
    <t>Sum of Sales Amount</t>
  </si>
  <si>
    <t>Row Labels</t>
  </si>
  <si>
    <t>Grand Total</t>
  </si>
  <si>
    <t>Jan</t>
  </si>
  <si>
    <t>Total sales</t>
  </si>
  <si>
    <t>Sales by Region</t>
  </si>
  <si>
    <t>Sales by Product</t>
  </si>
  <si>
    <t>Monthly Sales Trend</t>
  </si>
  <si>
    <t>Sales Performance Dashboard</t>
  </si>
  <si>
    <t>Sum of Order ID</t>
  </si>
  <si>
    <t>Total Orders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</si>
</sst>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6"/>
      <color theme="1"/>
      <name val="Calibri"/>
      <family val="2"/>
      <scheme val="minor"/>
    </font>
    <font>
      <b/>
      <sz val="22"/>
      <color theme="1"/>
      <name val="Calibri"/>
      <family val="2"/>
      <scheme val="minor"/>
    </font>
    <font>
      <sz val="14"/>
      <color theme="1"/>
      <name val="Calibri"/>
      <family val="2"/>
      <scheme val="minor"/>
    </font>
    <font>
      <b/>
      <sz val="36"/>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s>
  <borders count="2">
    <border>
      <left/>
      <right/>
      <top/>
      <bottom/>
      <diagonal/>
    </border>
    <border>
      <left/>
      <right/>
      <top/>
      <bottom style="thin">
        <color rgb="FFABABAB"/>
      </bottom>
      <diagonal/>
    </border>
  </borders>
  <cellStyleXfs count="1">
    <xf numFmtId="0" fontId="0" fillId="0" borderId="0"/>
  </cellStyleXfs>
  <cellXfs count="1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4" borderId="0" xfId="0" applyFill="1" applyAlignment="1">
      <alignment horizontal="center"/>
    </xf>
    <xf numFmtId="0" fontId="0" fillId="4" borderId="1" xfId="0" applyFill="1" applyBorder="1" applyAlignment="1">
      <alignment horizontal="center"/>
    </xf>
    <xf numFmtId="0" fontId="0" fillId="2" borderId="1" xfId="0" applyFill="1" applyBorder="1" applyAlignment="1"/>
    <xf numFmtId="0" fontId="0" fillId="4" borderId="1" xfId="0" applyFill="1" applyBorder="1" applyAlignment="1">
      <alignment vertical="center"/>
    </xf>
    <xf numFmtId="0" fontId="3" fillId="4" borderId="1" xfId="0" applyFont="1" applyFill="1" applyBorder="1" applyAlignment="1">
      <alignment vertical="center"/>
    </xf>
    <xf numFmtId="0" fontId="1" fillId="0" borderId="0" xfId="0" applyFont="1"/>
    <xf numFmtId="0" fontId="3" fillId="4" borderId="0" xfId="0" applyFont="1" applyFill="1"/>
    <xf numFmtId="0" fontId="2" fillId="3" borderId="0" xfId="0" applyFont="1" applyFill="1"/>
    <xf numFmtId="0" fontId="4" fillId="3" borderId="0" xfId="0" applyFont="1" applyFill="1"/>
    <xf numFmtId="0" fontId="2" fillId="3" borderId="0" xfId="0" applyNumberFormat="1" applyFont="1" applyFill="1"/>
    <xf numFmtId="0" fontId="4" fillId="3" borderId="0" xfId="0" applyNumberFormat="1" applyFont="1" applyFill="1"/>
    <xf numFmtId="0" fontId="5" fillId="4" borderId="0" xfId="0" applyFont="1" applyFill="1" applyAlignment="1">
      <alignment horizontal="center"/>
    </xf>
  </cellXfs>
  <cellStyles count="1">
    <cellStyle name="Normal" xfId="0" builtinId="0"/>
  </cellStyles>
  <dxfs count="13">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14"/>
      </font>
    </dxf>
    <dxf>
      <font>
        <sz val="14"/>
      </font>
    </dxf>
    <dxf>
      <font>
        <sz val="16"/>
      </font>
    </dxf>
    <dxf>
      <font>
        <sz val="16"/>
      </font>
    </dxf>
    <dxf>
      <font>
        <sz val="16"/>
      </font>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pivots!$B$22</c:f>
              <c:strCache>
                <c:ptCount val="1"/>
                <c:pt idx="0">
                  <c:v>Total</c:v>
                </c:pt>
              </c:strCache>
            </c:strRef>
          </c:tx>
          <c:spPr>
            <a:solidFill>
              <a:schemeClr val="accent1"/>
            </a:solidFill>
            <a:ln>
              <a:noFill/>
            </a:ln>
            <a:effectLst/>
          </c:spPr>
          <c:invertIfNegative val="0"/>
          <c:cat>
            <c:strRef>
              <c:f>pivots!$A$23:$A$27</c:f>
              <c:strCache>
                <c:ptCount val="4"/>
                <c:pt idx="0">
                  <c:v>East</c:v>
                </c:pt>
                <c:pt idx="1">
                  <c:v>North</c:v>
                </c:pt>
                <c:pt idx="2">
                  <c:v>South</c:v>
                </c:pt>
                <c:pt idx="3">
                  <c:v>West</c:v>
                </c:pt>
              </c:strCache>
            </c:strRef>
          </c:cat>
          <c:val>
            <c:numRef>
              <c:f>pivots!$B$23:$B$27</c:f>
              <c:numCache>
                <c:formatCode>General</c:formatCode>
                <c:ptCount val="4"/>
                <c:pt idx="0">
                  <c:v>44000</c:v>
                </c:pt>
                <c:pt idx="1">
                  <c:v>31000</c:v>
                </c:pt>
                <c:pt idx="2">
                  <c:v>84000</c:v>
                </c:pt>
                <c:pt idx="3">
                  <c:v>83000</c:v>
                </c:pt>
              </c:numCache>
            </c:numRef>
          </c:val>
        </c:ser>
        <c:dLbls>
          <c:showLegendKey val="0"/>
          <c:showVal val="0"/>
          <c:showCatName val="0"/>
          <c:showSerName val="0"/>
          <c:showPercent val="0"/>
          <c:showBubbleSize val="0"/>
        </c:dLbls>
        <c:gapWidth val="182"/>
        <c:axId val="539488520"/>
        <c:axId val="539485384"/>
      </c:barChart>
      <c:catAx>
        <c:axId val="539488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85384"/>
        <c:crosses val="autoZero"/>
        <c:auto val="1"/>
        <c:lblAlgn val="ctr"/>
        <c:lblOffset val="100"/>
        <c:noMultiLvlLbl val="0"/>
      </c:catAx>
      <c:valAx>
        <c:axId val="539485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88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pivots!$K$3</c:f>
              <c:strCache>
                <c:ptCount val="1"/>
                <c:pt idx="0">
                  <c:v>Total</c:v>
                </c:pt>
              </c:strCache>
            </c:strRef>
          </c:tx>
          <c:spPr>
            <a:solidFill>
              <a:schemeClr val="accent1"/>
            </a:solidFill>
            <a:ln>
              <a:noFill/>
            </a:ln>
            <a:effectLst/>
          </c:spPr>
          <c:invertIfNegative val="0"/>
          <c:cat>
            <c:strRef>
              <c:f>pivots!$J$4:$J$11</c:f>
              <c:strCache>
                <c:ptCount val="7"/>
                <c:pt idx="0">
                  <c:v>Chair</c:v>
                </c:pt>
                <c:pt idx="1">
                  <c:v>Headphones</c:v>
                </c:pt>
                <c:pt idx="2">
                  <c:v>Laptop</c:v>
                </c:pt>
                <c:pt idx="3">
                  <c:v>Phone</c:v>
                </c:pt>
                <c:pt idx="4">
                  <c:v>Sofa</c:v>
                </c:pt>
                <c:pt idx="5">
                  <c:v>Table</c:v>
                </c:pt>
                <c:pt idx="6">
                  <c:v>Tablet</c:v>
                </c:pt>
              </c:strCache>
            </c:strRef>
          </c:cat>
          <c:val>
            <c:numRef>
              <c:f>pivots!$K$4:$K$11</c:f>
              <c:numCache>
                <c:formatCode>General</c:formatCode>
                <c:ptCount val="7"/>
                <c:pt idx="0">
                  <c:v>9000</c:v>
                </c:pt>
                <c:pt idx="1">
                  <c:v>3000</c:v>
                </c:pt>
                <c:pt idx="2">
                  <c:v>115000</c:v>
                </c:pt>
                <c:pt idx="3">
                  <c:v>42000</c:v>
                </c:pt>
                <c:pt idx="4">
                  <c:v>25000</c:v>
                </c:pt>
                <c:pt idx="5">
                  <c:v>15000</c:v>
                </c:pt>
                <c:pt idx="6">
                  <c:v>33000</c:v>
                </c:pt>
              </c:numCache>
            </c:numRef>
          </c:val>
        </c:ser>
        <c:dLbls>
          <c:showLegendKey val="0"/>
          <c:showVal val="0"/>
          <c:showCatName val="0"/>
          <c:showSerName val="0"/>
          <c:showPercent val="0"/>
          <c:showBubbleSize val="0"/>
        </c:dLbls>
        <c:gapWidth val="219"/>
        <c:overlap val="-27"/>
        <c:axId val="539484208"/>
        <c:axId val="539486168"/>
      </c:barChart>
      <c:catAx>
        <c:axId val="53948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86168"/>
        <c:crosses val="autoZero"/>
        <c:auto val="1"/>
        <c:lblAlgn val="ctr"/>
        <c:lblOffset val="100"/>
        <c:noMultiLvlLbl val="0"/>
      </c:catAx>
      <c:valAx>
        <c:axId val="539486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84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[Sales_Dashboard.xlsx]pivots!PivotTable8</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pivots!$K$20</c:f>
              <c:strCache>
                <c:ptCount val="1"/>
                <c:pt idx="0">
                  <c:v>Total</c:v>
                </c:pt>
              </c:strCache>
            </c:strRef>
          </c:tx>
          <c:spPr>
            <a:ln w="28575" cap="rnd">
              <a:solidFill>
                <a:schemeClr val="accent1"/>
              </a:solidFill>
              <a:round/>
            </a:ln>
            <a:effectLst/>
          </c:spPr>
          <c:marker>
            <c:symbol val="none"/>
          </c:marker>
          <c:cat>
            <c:strRef>
              <c:f>pivots!$J$21:$J$22</c:f>
              <c:strCache>
                <c:ptCount val="1"/>
                <c:pt idx="0">
                  <c:v>Jan</c:v>
                </c:pt>
              </c:strCache>
            </c:strRef>
          </c:cat>
          <c:val>
            <c:numRef>
              <c:f>pivots!$K$21:$K$22</c:f>
              <c:numCache>
                <c:formatCode>General</c:formatCode>
                <c:ptCount val="1"/>
                <c:pt idx="0">
                  <c:v>242000</c:v>
                </c:pt>
              </c:numCache>
            </c:numRef>
          </c:val>
          <c:smooth val="0"/>
        </c:ser>
        <c:dLbls>
          <c:showLegendKey val="0"/>
          <c:showVal val="0"/>
          <c:showCatName val="0"/>
          <c:showSerName val="0"/>
          <c:showPercent val="0"/>
          <c:showBubbleSize val="0"/>
        </c:dLbls>
        <c:smooth val="0"/>
        <c:axId val="272666904"/>
        <c:axId val="500714840"/>
      </c:lineChart>
      <c:catAx>
        <c:axId val="272666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14840"/>
        <c:crosses val="autoZero"/>
        <c:auto val="1"/>
        <c:lblAlgn val="ctr"/>
        <c:lblOffset val="100"/>
        <c:noMultiLvlLbl val="0"/>
      </c:catAx>
      <c:valAx>
        <c:axId val="500714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666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[Sales_Dashboard.xlsx]pivots!PivotTable9</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pivots!$B$37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pivots!$A$38:$A$40</c:f>
              <c:strCache>
                <c:ptCount val="2"/>
                <c:pt idx="0">
                  <c:v>Electronics</c:v>
                </c:pt>
                <c:pt idx="1">
                  <c:v>Furniture</c:v>
                </c:pt>
              </c:strCache>
            </c:strRef>
          </c:cat>
          <c:val>
            <c:numRef>
              <c:f>pivots!$B$38:$B$40</c:f>
              <c:numCache>
                <c:formatCode>General</c:formatCode>
                <c:ptCount val="2"/>
                <c:pt idx="0">
                  <c:v>193000</c:v>
                </c:pt>
                <c:pt idx="1">
                  <c:v>49000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[Sales_Dashboard.xlsx]pivots!PivotTable6</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pivots!$B$22</c:f>
              <c:strCache>
                <c:ptCount val="1"/>
                <c:pt idx="0">
                  <c:v>Total</c:v>
                </c:pt>
              </c:strCache>
            </c:strRef>
          </c:tx>
          <c:spPr>
            <a:solidFill>
              <a:schemeClr val="accent1"/>
            </a:solidFill>
            <a:ln>
              <a:noFill/>
            </a:ln>
            <a:effectLst/>
          </c:spPr>
          <c:invertIfNegative val="0"/>
          <c:cat>
            <c:strRef>
              <c:f>pivots!$A$23:$A$27</c:f>
              <c:strCache>
                <c:ptCount val="4"/>
                <c:pt idx="0">
                  <c:v>East</c:v>
                </c:pt>
                <c:pt idx="1">
                  <c:v>North</c:v>
                </c:pt>
                <c:pt idx="2">
                  <c:v>South</c:v>
                </c:pt>
                <c:pt idx="3">
                  <c:v>West</c:v>
                </c:pt>
              </c:strCache>
            </c:strRef>
          </c:cat>
          <c:val>
            <c:numRef>
              <c:f>pivots!$B$23:$B$27</c:f>
              <c:numCache>
                <c:formatCode>General</c:formatCode>
                <c:ptCount val="4"/>
                <c:pt idx="0">
                  <c:v>44000</c:v>
                </c:pt>
                <c:pt idx="1">
                  <c:v>31000</c:v>
                </c:pt>
                <c:pt idx="2">
                  <c:v>84000</c:v>
                </c:pt>
                <c:pt idx="3">
                  <c:v>83000</c:v>
                </c:pt>
              </c:numCache>
            </c:numRef>
          </c:val>
        </c:ser>
        <c:dLbls>
          <c:showLegendKey val="0"/>
          <c:showVal val="0"/>
          <c:showCatName val="0"/>
          <c:showSerName val="0"/>
          <c:showPercent val="0"/>
          <c:showBubbleSize val="0"/>
        </c:dLbls>
        <c:gapWidth val="182"/>
        <c:axId val="500708568"/>
        <c:axId val="500710136"/>
      </c:barChart>
      <c:catAx>
        <c:axId val="500708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10136"/>
        <c:crosses val="autoZero"/>
        <c:auto val="1"/>
        <c:lblAlgn val="ctr"/>
        <c:lblOffset val="100"/>
        <c:noMultiLvlLbl val="0"/>
      </c:catAx>
      <c:valAx>
        <c:axId val="500710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08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[Sales_Dashboard.xlsx]pivots!PivotTable7</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pivots!$K$3</c:f>
              <c:strCache>
                <c:ptCount val="1"/>
                <c:pt idx="0">
                  <c:v>Total</c:v>
                </c:pt>
              </c:strCache>
            </c:strRef>
          </c:tx>
          <c:spPr>
            <a:solidFill>
              <a:schemeClr val="accent1"/>
            </a:solidFill>
            <a:ln>
              <a:noFill/>
            </a:ln>
            <a:effectLst/>
          </c:spPr>
          <c:invertIfNegative val="0"/>
          <c:cat>
            <c:strRef>
              <c:f>pivots!$J$4:$J$11</c:f>
              <c:strCache>
                <c:ptCount val="7"/>
                <c:pt idx="0">
                  <c:v>Chair</c:v>
                </c:pt>
                <c:pt idx="1">
                  <c:v>Headphones</c:v>
                </c:pt>
                <c:pt idx="2">
                  <c:v>Laptop</c:v>
                </c:pt>
                <c:pt idx="3">
                  <c:v>Phone</c:v>
                </c:pt>
                <c:pt idx="4">
                  <c:v>Sofa</c:v>
                </c:pt>
                <c:pt idx="5">
                  <c:v>Table</c:v>
                </c:pt>
                <c:pt idx="6">
                  <c:v>Tablet</c:v>
                </c:pt>
              </c:strCache>
            </c:strRef>
          </c:cat>
          <c:val>
            <c:numRef>
              <c:f>pivots!$K$4:$K$11</c:f>
              <c:numCache>
                <c:formatCode>General</c:formatCode>
                <c:ptCount val="7"/>
                <c:pt idx="0">
                  <c:v>9000</c:v>
                </c:pt>
                <c:pt idx="1">
                  <c:v>3000</c:v>
                </c:pt>
                <c:pt idx="2">
                  <c:v>115000</c:v>
                </c:pt>
                <c:pt idx="3">
                  <c:v>42000</c:v>
                </c:pt>
                <c:pt idx="4">
                  <c:v>25000</c:v>
                </c:pt>
                <c:pt idx="5">
                  <c:v>15000</c:v>
                </c:pt>
                <c:pt idx="6">
                  <c:v>33000</c:v>
                </c:pt>
              </c:numCache>
            </c:numRef>
          </c:val>
        </c:ser>
        <c:dLbls>
          <c:showLegendKey val="0"/>
          <c:showVal val="0"/>
          <c:showCatName val="0"/>
          <c:showSerName val="0"/>
          <c:showPercent val="0"/>
          <c:showBubbleSize val="0"/>
        </c:dLbls>
        <c:gapWidth val="219"/>
        <c:overlap val="-27"/>
        <c:axId val="549982712"/>
        <c:axId val="549979184"/>
      </c:barChart>
      <c:catAx>
        <c:axId val="549982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79184"/>
        <c:crosses val="autoZero"/>
        <c:auto val="1"/>
        <c:lblAlgn val="ctr"/>
        <c:lblOffset val="100"/>
        <c:noMultiLvlLbl val="0"/>
      </c:catAx>
      <c:valAx>
        <c:axId val="54997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827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[Sales_Dashboard.xlsx]pivots!PivotTable8</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pivots!$K$20</c:f>
              <c:strCache>
                <c:ptCount val="1"/>
                <c:pt idx="0">
                  <c:v>Total</c:v>
                </c:pt>
              </c:strCache>
            </c:strRef>
          </c:tx>
          <c:spPr>
            <a:ln w="28575" cap="rnd">
              <a:solidFill>
                <a:schemeClr val="accent1"/>
              </a:solidFill>
              <a:round/>
            </a:ln>
            <a:effectLst/>
          </c:spPr>
          <c:marker>
            <c:symbol val="none"/>
          </c:marker>
          <c:cat>
            <c:strRef>
              <c:f>pivots!$J$21:$J$22</c:f>
              <c:strCache>
                <c:ptCount val="1"/>
                <c:pt idx="0">
                  <c:v>Jan</c:v>
                </c:pt>
              </c:strCache>
            </c:strRef>
          </c:cat>
          <c:val>
            <c:numRef>
              <c:f>pivots!$K$21:$K$22</c:f>
              <c:numCache>
                <c:formatCode>General</c:formatCode>
                <c:ptCount val="1"/>
                <c:pt idx="0">
                  <c:v>242000</c:v>
                </c:pt>
              </c:numCache>
            </c:numRef>
          </c:val>
          <c:smooth val="0"/>
        </c:ser>
        <c:dLbls>
          <c:showLegendKey val="0"/>
          <c:showVal val="0"/>
          <c:showCatName val="0"/>
          <c:showSerName val="0"/>
          <c:showPercent val="0"/>
          <c:showBubbleSize val="0"/>
        </c:dLbls>
        <c:smooth val="0"/>
        <c:axId val="500710528"/>
        <c:axId val="500709352"/>
      </c:lineChart>
      <c:catAx>
        <c:axId val="50071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09352"/>
        <c:crosses val="autoZero"/>
        <c:auto val="1"/>
        <c:lblAlgn val="ctr"/>
        <c:lblOffset val="100"/>
        <c:noMultiLvlLbl val="0"/>
      </c:catAx>
      <c:valAx>
        <c:axId val="500709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10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[Sales_Dashboard.xlsx]pivots!PivotTable9</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pivots!$B$37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pivots!$A$38:$A$40</c:f>
              <c:strCache>
                <c:ptCount val="2"/>
                <c:pt idx="0">
                  <c:v>Electronics</c:v>
                </c:pt>
                <c:pt idx="1">
                  <c:v>Furniture</c:v>
                </c:pt>
              </c:strCache>
            </c:strRef>
          </c:cat>
          <c:val>
            <c:numRef>
              <c:f>pivots!$B$38:$B$40</c:f>
              <c:numCache>
                <c:formatCode>General</c:formatCode>
                <c:ptCount val="2"/>
                <c:pt idx="0">
                  <c:v>193000</c:v>
                </c:pt>
                <c:pt idx="1">
                  <c:v>49000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280147</xdr:colOff>
      <xdr:row>18</xdr:row>
      <xdr:rowOff>1120</xdr:rowOff>
    </xdr:from>
    <xdr:to>
      <xdr:col>7</xdr:col>
      <xdr:colOff>582706</xdr:colOff>
      <xdr:row>32</xdr:row>
      <xdr:rowOff>77320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347381</xdr:colOff>
      <xdr:row>0</xdr:row>
      <xdr:rowOff>90767</xdr:rowOff>
    </xdr:from>
    <xdr:to>
      <xdr:col>19</xdr:col>
      <xdr:colOff>78440</xdr:colOff>
      <xdr:row>14</xdr:row>
      <xdr:rowOff>166967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11206</xdr:colOff>
      <xdr:row>17</xdr:row>
      <xdr:rowOff>45942</xdr:rowOff>
    </xdr:from>
    <xdr:to>
      <xdr:col>21</xdr:col>
      <xdr:colOff>437030</xdr:colOff>
      <xdr:row>31</xdr:row>
      <xdr:rowOff>122142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280148</xdr:colOff>
      <xdr:row>35</xdr:row>
      <xdr:rowOff>23532</xdr:rowOff>
    </xdr:from>
    <xdr:to>
      <xdr:col>7</xdr:col>
      <xdr:colOff>268942</xdr:colOff>
      <xdr:row>49</xdr:row>
      <xdr:rowOff>99732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746872</xdr:colOff>
      <xdr:row>25</xdr:row>
      <xdr:rowOff>143996</xdr:rowOff>
    </xdr:from>
    <xdr:to>
      <xdr:col>9</xdr:col>
      <xdr:colOff>637055</xdr:colOff>
      <xdr:row>39</xdr:row>
      <xdr:rowOff>1121</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48843" y="490649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864534</xdr:colOff>
      <xdr:row>25</xdr:row>
      <xdr:rowOff>127187</xdr:rowOff>
    </xdr:from>
    <xdr:to>
      <xdr:col>11</xdr:col>
      <xdr:colOff>474569</xdr:colOff>
      <xdr:row>38</xdr:row>
      <xdr:rowOff>174812</xdr:rowOff>
    </xdr:to>
    <mc:AlternateContent xmlns:mc="http://schemas.openxmlformats.org/markup-compatibility/2006">
      <mc:Choice xmlns:a14="http://schemas.microsoft.com/office/drawing/2010/main"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605122" y="488968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8</xdr:row>
      <xdr:rowOff>47626</xdr:rowOff>
    </xdr:from>
    <xdr:to>
      <xdr:col>4</xdr:col>
      <xdr:colOff>556652</xdr:colOff>
      <xdr:row>24</xdr:row>
      <xdr:rowOff>52388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112258</xdr:colOff>
      <xdr:row>8</xdr:row>
      <xdr:rowOff>47625</xdr:rowOff>
    </xdr:from>
    <xdr:to>
      <xdr:col>16</xdr:col>
      <xdr:colOff>472848</xdr:colOff>
      <xdr:row>25</xdr:row>
      <xdr:rowOff>85044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320768</xdr:colOff>
      <xdr:row>26</xdr:row>
      <xdr:rowOff>182096</xdr:rowOff>
    </xdr:from>
    <xdr:to>
      <xdr:col>17</xdr:col>
      <xdr:colOff>101133</xdr:colOff>
      <xdr:row>41</xdr:row>
      <xdr:rowOff>67796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350382</xdr:colOff>
      <xdr:row>26</xdr:row>
      <xdr:rowOff>166687</xdr:rowOff>
    </xdr:from>
    <xdr:to>
      <xdr:col>4</xdr:col>
      <xdr:colOff>547686</xdr:colOff>
      <xdr:row>41</xdr:row>
      <xdr:rowOff>166686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0</xdr:colOff>
      <xdr:row>9</xdr:row>
      <xdr:rowOff>0</xdr:rowOff>
    </xdr:from>
    <xdr:to>
      <xdr:col>21</xdr:col>
      <xdr:colOff>590550</xdr:colOff>
      <xdr:row>22</xdr:row>
      <xdr:rowOff>47625</xdr:rowOff>
    </xdr:to>
    <mc:AlternateContent xmlns:mc="http://schemas.openxmlformats.org/markup-compatibility/2006">
      <mc:Choice xmlns:a14="http://schemas.microsoft.com/office/drawing/2010/main" Requires="a14">
        <xdr:graphicFrame macro="">
          <xdr:nvGraphicFramePr>
            <xdr:cNvPr id="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960929" y="2449286"/>
              <a:ext cx="1815192"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27</xdr:row>
      <xdr:rowOff>0</xdr:rowOff>
    </xdr:from>
    <xdr:to>
      <xdr:col>21</xdr:col>
      <xdr:colOff>590550</xdr:colOff>
      <xdr:row>40</xdr:row>
      <xdr:rowOff>47625</xdr:rowOff>
    </xdr:to>
    <mc:AlternateContent xmlns:mc="http://schemas.openxmlformats.org/markup-compatibility/2006">
      <mc:Choice xmlns:a14="http://schemas.microsoft.com/office/drawing/2010/main" Requires="a14">
        <xdr:graphicFrame macro="">
          <xdr:nvGraphicFramePr>
            <xdr:cNvPr id="7"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960929" y="5878286"/>
              <a:ext cx="1815192"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Admin" refreshedDate="46111.864571064812" backgroundQuery="1" createdVersion="5" refreshedVersion="5" minRefreshableVersion="3" recordCount="0" supportSubquery="1" supportAdvancedDrill="1">
  <cacheSource type="external" connectionId="1"/>
  <cacheFields count="1">
    <cacheField name="[Measures].[Sum of Sales Amount]" caption="Sum of Sales Amount" numFmtId="0" hierarchy="10" level="32767"/>
  </cacheFields>
  <cacheHierarchies count="13">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sales category]" caption="sales category" attribute="1" defaultMemberUniqueName="[Table1].[sales category].[All]" allUniqueName="[Table1].[sales category].[All]" dimensionUniqueName="[Table1]" displayFolder="" count="0" memberValueDatatype="130" unbalanced="0"/>
    <cacheHierarchy uniqueName="[Measures].[Sum of Sales Amount]" caption="Sum of Sales Amount" measure="1" displayFolder="" measureGroup="Table1" count="0" oneField="1">
      <fieldsUsage count="1">
        <fieldUsage x="0"/>
      </fieldsUsage>
      <extLst>
        <ext xmlns:x15="http://schemas.microsoft.com/office/spreadsheetml/2010/11/main" uri="{B97F6D7D-B522-45F9-BDA1-12C45D357490}">
          <x15:cacheHierarchy aggregatedColumn="6"/>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111.86741979167" createdVersion="5" refreshedVersion="5" minRefreshableVersion="3" recordCount="12">
  <cacheSource type="worksheet">
    <worksheetSource name="Table1"/>
  </cacheSource>
  <cacheFields count="10">
    <cacheField name="Order ID" numFmtId="0">
      <sharedItems containsSemiMixedTypes="0" containsString="0" containsNumber="1" containsInteger="1" minValue="1001" maxValue="1012"/>
    </cacheField>
    <cacheField name="Date" numFmtId="0">
      <sharedItems/>
    </cacheField>
    <cacheField name="Customer Name" numFmtId="0">
      <sharedItems/>
    </cacheField>
    <cacheField name="Region" numFmtId="0">
      <sharedItems count="4">
        <s v="South"/>
        <s v="North"/>
        <s v="East"/>
        <s v="West"/>
      </sharedItems>
    </cacheField>
    <cacheField name="Product" numFmtId="0">
      <sharedItems count="7">
        <s v="Laptop"/>
        <s v="Phone"/>
        <s v="Tablet"/>
        <s v="Chair"/>
        <s v="Table"/>
        <s v="Headphones"/>
        <s v="Sofa"/>
      </sharedItems>
    </cacheField>
    <cacheField name="Category" numFmtId="0">
      <sharedItems count="2">
        <s v="Electronics"/>
        <s v="Furniture"/>
      </sharedItems>
    </cacheField>
    <cacheField name="Sales Amount" numFmtId="0">
      <sharedItems containsSemiMixedTypes="0" containsString="0" containsNumber="1" containsInteger="1" minValue="3000" maxValue="60000"/>
    </cacheField>
    <cacheField name="Quantity" numFmtId="0">
      <sharedItems containsSemiMixedTypes="0" containsString="0" containsNumber="1" containsInteger="1" minValue="1" maxValue="4"/>
    </cacheField>
    <cacheField name="month" numFmtId="0">
      <sharedItems count="1">
        <s v="Jan"/>
      </sharedItems>
    </cacheField>
    <cacheField name="sales category" numFmtId="0">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111.864571064812" backgroundQuery="1" createdVersion="5" refreshedVersion="5" minRefreshableVersion="3" recordCount="0" supportSubquery="1" supportAdvancedDrill="1">
  <cacheSource type="external" connectionId="1"/>
  <cacheFields count="1">
    <cacheField name="[Measures].[Sum of Sales Amount]" caption="Sum of Sales Amount" numFmtId="0" hierarchy="10" level="32767"/>
  </cacheFields>
  <cacheHierarchies count="13">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sales category]" caption="sales category" attribute="1" defaultMemberUniqueName="[Table1].[sales category].[All]" allUniqueName="[Table1].[sales category].[All]" dimensionUniqueName="[Table1]" displayFolder="" count="0" memberValueDatatype="130" unbalanced="0"/>
    <cacheHierarchy uniqueName="[Measures].[Sum of Sales Amount]" caption="Sum of Sales Amount" measure="1" displayFolder="" measureGroup="Table1" count="0" oneField="1">
      <fieldsUsage count="1">
        <fieldUsage x="0"/>
      </fieldsUsage>
      <extLst>
        <ext xmlns:x15="http://schemas.microsoft.com/office/spreadsheetml/2010/11/main" uri="{B97F6D7D-B522-45F9-BDA1-12C45D357490}">
          <x15:cacheHierarchy aggregatedColumn="6"/>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2">
  <r>
    <n v="1001"/>
    <s v="01-01-2024"/>
    <s v="Asha"/>
    <x v="0"/>
    <x v="0"/>
    <x v="0"/>
    <n v="55000"/>
    <n v="1"/>
    <x v="0"/>
    <s v="High"/>
  </r>
  <r>
    <n v="1002"/>
    <s v="02-01-2024"/>
    <s v="Ravi"/>
    <x v="1"/>
    <x v="1"/>
    <x v="0"/>
    <n v="20000"/>
    <n v="2"/>
    <x v="0"/>
    <s v="Medium"/>
  </r>
  <r>
    <n v="1003"/>
    <s v="03-01-2024"/>
    <s v="John"/>
    <x v="2"/>
    <x v="2"/>
    <x v="0"/>
    <n v="15000"/>
    <n v="1"/>
    <x v="0"/>
    <s v="Medium"/>
  </r>
  <r>
    <n v="1004"/>
    <s v="04-01-2024"/>
    <s v="Meena"/>
    <x v="3"/>
    <x v="3"/>
    <x v="1"/>
    <n v="5000"/>
    <n v="3"/>
    <x v="0"/>
    <s v="low"/>
  </r>
  <r>
    <n v="1005"/>
    <s v="05-01-2024"/>
    <s v="Arun"/>
    <x v="0"/>
    <x v="4"/>
    <x v="1"/>
    <n v="7000"/>
    <n v="2"/>
    <x v="0"/>
    <s v="low"/>
  </r>
  <r>
    <n v="1006"/>
    <s v="06-01-2024"/>
    <s v="Priya"/>
    <x v="1"/>
    <x v="5"/>
    <x v="0"/>
    <n v="3000"/>
    <n v="4"/>
    <x v="0"/>
    <s v="low"/>
  </r>
  <r>
    <n v="1007"/>
    <s v="07-01-2024"/>
    <s v="Kiran"/>
    <x v="2"/>
    <x v="6"/>
    <x v="1"/>
    <n v="25000"/>
    <n v="1"/>
    <x v="0"/>
    <s v="High"/>
  </r>
  <r>
    <n v="1008"/>
    <s v="08-01-2024"/>
    <s v="Divya"/>
    <x v="3"/>
    <x v="0"/>
    <x v="0"/>
    <n v="60000"/>
    <n v="1"/>
    <x v="0"/>
    <s v="High"/>
  </r>
  <r>
    <n v="1009"/>
    <s v="09-01-2024"/>
    <s v="Manoj"/>
    <x v="0"/>
    <x v="1"/>
    <x v="0"/>
    <n v="22000"/>
    <n v="2"/>
    <x v="0"/>
    <s v="High"/>
  </r>
  <r>
    <n v="1010"/>
    <s v="10-01-2024"/>
    <s v="Sneha"/>
    <x v="1"/>
    <x v="4"/>
    <x v="1"/>
    <n v="8000"/>
    <n v="1"/>
    <x v="0"/>
    <s v="low"/>
  </r>
  <r>
    <n v="1011"/>
    <s v="11-01-2024"/>
    <s v="Rahul"/>
    <x v="2"/>
    <x v="3"/>
    <x v="1"/>
    <n v="4000"/>
    <n v="2"/>
    <x v="0"/>
    <s v="low"/>
  </r>
  <r>
    <n v="1012"/>
    <s v="12-01-2024"/>
    <s v="Anu"/>
    <x v="3"/>
    <x v="2"/>
    <x v="0"/>
    <n v="18000"/>
    <n v="1"/>
    <x v="0"/>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1" cacheId="2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62:A63" firstHeaderRow="1" firstDataRow="1" firstDataCol="0"/>
  <pivotFields count="1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Ord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2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7:B40" firstHeaderRow="1" firstDataRow="1" firstDataCol="1"/>
  <pivotFields count="10">
    <pivotField showAll="0"/>
    <pivotField showAll="0"/>
    <pivotField showAll="0"/>
    <pivotField showAll="0"/>
    <pivotField showAll="0"/>
    <pivotField axis="axisRow" showAll="0">
      <items count="3">
        <item x="0"/>
        <item x="1"/>
        <item t="default"/>
      </items>
    </pivotField>
    <pivotField dataField="1" showAll="0"/>
    <pivotField showAll="0"/>
    <pivotField showAll="0"/>
    <pivotField showAll="0"/>
  </pivotFields>
  <rowFields count="1">
    <field x="5"/>
  </rowFields>
  <rowItems count="3">
    <i>
      <x/>
    </i>
    <i>
      <x v="1"/>
    </i>
    <i t="grand">
      <x/>
    </i>
  </rowItems>
  <colItems count="1">
    <i/>
  </colItems>
  <dataFields count="1">
    <dataField name="Sum of Sales Amount" fld="6"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2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J20:K22" firstHeaderRow="1" firstDataRow="1" firstDataCol="1"/>
  <pivotFields count="10">
    <pivotField showAll="0"/>
    <pivotField showAll="0"/>
    <pivotField showAll="0"/>
    <pivotField showAll="0"/>
    <pivotField showAll="0"/>
    <pivotField showAll="0">
      <items count="3">
        <item x="0"/>
        <item x="1"/>
        <item t="default"/>
      </items>
    </pivotField>
    <pivotField dataField="1" showAll="0"/>
    <pivotField showAll="0"/>
    <pivotField axis="axisRow" showAll="0">
      <items count="2">
        <item x="0"/>
        <item t="default"/>
      </items>
    </pivotField>
    <pivotField showAll="0"/>
  </pivotFields>
  <rowFields count="1">
    <field x="8"/>
  </rowFields>
  <rowItems count="2">
    <i>
      <x/>
    </i>
    <i t="grand">
      <x/>
    </i>
  </rowItems>
  <colItems count="1">
    <i/>
  </colItems>
  <dataFields count="1">
    <dataField name="Sum of Sales Amount"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2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J3:K11" firstHeaderRow="1" firstDataRow="1" firstDataCol="1"/>
  <pivotFields count="10">
    <pivotField showAll="0"/>
    <pivotField showAll="0"/>
    <pivotField showAll="0"/>
    <pivotField showAll="0"/>
    <pivotField axis="axisRow" showAll="0">
      <items count="8">
        <item x="3"/>
        <item x="5"/>
        <item x="0"/>
        <item x="1"/>
        <item x="6"/>
        <item x="4"/>
        <item x="2"/>
        <item t="default"/>
      </items>
    </pivotField>
    <pivotField showAll="0">
      <items count="3">
        <item x="0"/>
        <item x="1"/>
        <item t="default"/>
      </items>
    </pivotField>
    <pivotField dataField="1" showAll="0"/>
    <pivotField showAll="0"/>
    <pivotField showAll="0"/>
    <pivotField showAll="0"/>
  </pivotFields>
  <rowFields count="1">
    <field x="4"/>
  </rowFields>
  <rowItems count="8">
    <i>
      <x/>
    </i>
    <i>
      <x v="1"/>
    </i>
    <i>
      <x v="2"/>
    </i>
    <i>
      <x v="3"/>
    </i>
    <i>
      <x v="4"/>
    </i>
    <i>
      <x v="5"/>
    </i>
    <i>
      <x v="6"/>
    </i>
    <i t="grand">
      <x/>
    </i>
  </rowItems>
  <colItems count="1">
    <i/>
  </colItems>
  <dataFields count="1">
    <dataField name="Sum of Sales Amount"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2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2:B27" firstHeaderRow="1" firstDataRow="1" firstDataCol="1"/>
  <pivotFields count="10">
    <pivotField showAll="0"/>
    <pivotField showAll="0"/>
    <pivotField showAll="0"/>
    <pivotField axis="axisRow" showAll="0">
      <items count="5">
        <item x="2"/>
        <item x="1"/>
        <item x="0"/>
        <item x="3"/>
        <item t="default"/>
      </items>
    </pivotField>
    <pivotField showAll="0"/>
    <pivotField showAll="0">
      <items count="3">
        <item x="0"/>
        <item x="1"/>
        <item t="default"/>
      </items>
    </pivotField>
    <pivotField dataField="1" showAll="0"/>
    <pivotField showAll="0"/>
    <pivotField showAll="0"/>
    <pivotField showAll="0"/>
  </pivotFields>
  <rowFields count="1">
    <field x="3"/>
  </rowFields>
  <rowItems count="5">
    <i>
      <x/>
    </i>
    <i>
      <x v="1"/>
    </i>
    <i>
      <x v="2"/>
    </i>
    <i>
      <x v="3"/>
    </i>
    <i t="grand">
      <x/>
    </i>
  </rowItems>
  <colItems count="1">
    <i/>
  </colItems>
  <dataFields count="1">
    <dataField name="Sum of Sales Amount"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
    <pivotField dataField="1" showAll="0"/>
  </pivotFields>
  <rowItems count="1">
    <i/>
  </rowItems>
  <colItems count="1">
    <i/>
  </colItems>
  <dataFields count="1">
    <dataField name="Sum of Sales Amount" fld="0"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Dataset.xlsx!Table1">
        <x15:activeTabTopLevelEntity name="[Table1]"/>
      </x15:pivotTableUISettings>
    </ext>
  </extLst>
</pivotTableDefinition>
</file>

<file path=xl/pivotTables/pivotTable7.xml><?xml version="1.0" encoding="utf-8"?>
<pivotTableDefinition xmlns="http://schemas.openxmlformats.org/spreadsheetml/2006/main" name="PivotTable12" cacheId="2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4:D5" firstHeaderRow="1" firstDataRow="1" firstDataCol="0"/>
  <pivotFields count="1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Order ID" fld="0" baseField="0" baseItem="0"/>
  </dataFields>
  <formats count="5">
    <format dxfId="7">
      <pivotArea dataOnly="0" labelOnly="1" outline="0" axis="axisValues"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2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4:B5" firstHeaderRow="1" firstDataRow="1" firstDataCol="0"/>
  <pivotFields count="1">
    <pivotField dataField="1" showAll="0"/>
  </pivotFields>
  <rowItems count="1">
    <i/>
  </rowItems>
  <colItems count="1">
    <i/>
  </colItems>
  <dataFields count="1">
    <dataField name="Sum of Sales Amount" fld="0" baseField="0" baseItem="0"/>
  </dataFields>
  <formats count="6">
    <format dxfId="10">
      <pivotArea type="all" dataOnly="0" outline="0" fieldPosition="0"/>
    </format>
    <format dxfId="9">
      <pivotArea outline="0" collapsedLevelsAreSubtotals="1" fieldPosition="0"/>
    </format>
    <format dxfId="8">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Dataset.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PivotTable6"/>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9" name="PivotTable6"/>
    <pivotTable tabId="9" name="PivotTable7"/>
    <pivotTable tabId="9" name="PivotTable8"/>
    <pivotTable tabId="9" name="PivotTable9"/>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 name="Category 1" cache="Slicer_Category" caption="Category" rowHeight="241300"/>
</slicers>
</file>

<file path=xl/tables/table1.xml><?xml version="1.0" encoding="utf-8"?>
<table xmlns="http://schemas.openxmlformats.org/spreadsheetml/2006/main" id="1" name="Table1" displayName="Table1" ref="A1:J13" totalsRowShown="0">
  <autoFilter ref="A1:J13"/>
  <tableColumns count="10">
    <tableColumn id="1" name="Order ID"/>
    <tableColumn id="2" name="Date"/>
    <tableColumn id="3" name="Customer Name"/>
    <tableColumn id="4" name="Region"/>
    <tableColumn id="5" name="Product"/>
    <tableColumn id="6" name="Category"/>
    <tableColumn id="7" name="Sales Amount"/>
    <tableColumn id="8" name="Quantity"/>
    <tableColumn id="10" name="month" dataDxfId="12">
      <calculatedColumnFormula>TEXT(Table1[[#This Row],[Date]],"MMM")</calculatedColumnFormula>
    </tableColumn>
    <tableColumn id="11" name="sales category" dataDxfId="11">
      <calculatedColumnFormula>IF(Table1[[#This Row],[Sales Amount]]&gt;20000,"High",IF(Table1[[#This Row],[Sales Amount]]&gt;=10000,"Medium","low"))</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16" sqref="E16"/>
    </sheetView>
  </sheetViews>
  <sheetFormatPr defaultRowHeight="15" x14ac:dyDescent="0.25"/>
  <cols>
    <col min="1" max="1" width="5.28515625" style="4" customWidth="1"/>
    <col min="2" max="16384" width="9.140625" style="4"/>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63"/>
  <sheetViews>
    <sheetView topLeftCell="I22" zoomScale="85" zoomScaleNormal="85" workbookViewId="0">
      <selection activeCell="A61" sqref="A61:A63"/>
    </sheetView>
  </sheetViews>
  <sheetFormatPr defaultRowHeight="15" x14ac:dyDescent="0.25"/>
  <cols>
    <col min="1" max="1" width="13.28515625" customWidth="1"/>
    <col min="2" max="2" width="20" bestFit="1" customWidth="1"/>
    <col min="5" max="5" width="11.7109375" customWidth="1"/>
    <col min="6" max="6" width="18.85546875" customWidth="1"/>
    <col min="7" max="7" width="20" bestFit="1" customWidth="1"/>
    <col min="8" max="8" width="20" customWidth="1"/>
    <col min="10" max="10" width="13.28515625" customWidth="1"/>
    <col min="11" max="11" width="20" customWidth="1"/>
  </cols>
  <sheetData>
    <row r="2" spans="1:11" x14ac:dyDescent="0.25">
      <c r="A2" s="8" t="s">
        <v>51</v>
      </c>
      <c r="B2" s="8"/>
      <c r="I2" s="7"/>
      <c r="J2" s="6" t="s">
        <v>53</v>
      </c>
      <c r="K2" s="6"/>
    </row>
    <row r="3" spans="1:11" x14ac:dyDescent="0.25">
      <c r="A3" t="s">
        <v>47</v>
      </c>
      <c r="J3" s="2" t="s">
        <v>48</v>
      </c>
      <c r="K3" t="s">
        <v>47</v>
      </c>
    </row>
    <row r="4" spans="1:11" x14ac:dyDescent="0.25">
      <c r="A4" s="1">
        <v>242000</v>
      </c>
      <c r="J4" s="3" t="s">
        <v>24</v>
      </c>
      <c r="K4" s="1">
        <v>9000</v>
      </c>
    </row>
    <row r="5" spans="1:11" x14ac:dyDescent="0.25">
      <c r="J5" s="3" t="s">
        <v>31</v>
      </c>
      <c r="K5" s="1">
        <v>3000</v>
      </c>
    </row>
    <row r="6" spans="1:11" x14ac:dyDescent="0.25">
      <c r="J6" s="3" t="s">
        <v>11</v>
      </c>
      <c r="K6" s="1">
        <v>115000</v>
      </c>
    </row>
    <row r="7" spans="1:11" x14ac:dyDescent="0.25">
      <c r="J7" s="3" t="s">
        <v>16</v>
      </c>
      <c r="K7" s="1">
        <v>42000</v>
      </c>
    </row>
    <row r="8" spans="1:11" x14ac:dyDescent="0.25">
      <c r="J8" s="3" t="s">
        <v>34</v>
      </c>
      <c r="K8" s="1">
        <v>25000</v>
      </c>
    </row>
    <row r="9" spans="1:11" x14ac:dyDescent="0.25">
      <c r="J9" s="3" t="s">
        <v>28</v>
      </c>
      <c r="K9" s="1">
        <v>15000</v>
      </c>
    </row>
    <row r="10" spans="1:11" x14ac:dyDescent="0.25">
      <c r="J10" s="3" t="s">
        <v>20</v>
      </c>
      <c r="K10" s="1">
        <v>33000</v>
      </c>
    </row>
    <row r="11" spans="1:11" x14ac:dyDescent="0.25">
      <c r="J11" s="3" t="s">
        <v>49</v>
      </c>
      <c r="K11" s="1">
        <v>242000</v>
      </c>
    </row>
    <row r="19" spans="1:11" x14ac:dyDescent="0.25">
      <c r="J19" s="6" t="s">
        <v>54</v>
      </c>
      <c r="K19" s="6"/>
    </row>
    <row r="20" spans="1:11" x14ac:dyDescent="0.25">
      <c r="A20" s="5" t="s">
        <v>52</v>
      </c>
      <c r="B20" s="5"/>
      <c r="J20" s="2" t="s">
        <v>48</v>
      </c>
      <c r="K20" t="s">
        <v>47</v>
      </c>
    </row>
    <row r="21" spans="1:11" x14ac:dyDescent="0.25">
      <c r="J21" s="3" t="s">
        <v>50</v>
      </c>
      <c r="K21" s="1">
        <v>242000</v>
      </c>
    </row>
    <row r="22" spans="1:11" x14ac:dyDescent="0.25">
      <c r="A22" s="2" t="s">
        <v>48</v>
      </c>
      <c r="B22" t="s">
        <v>47</v>
      </c>
      <c r="J22" s="3" t="s">
        <v>49</v>
      </c>
      <c r="K22" s="1">
        <v>242000</v>
      </c>
    </row>
    <row r="23" spans="1:11" x14ac:dyDescent="0.25">
      <c r="A23" s="3" t="s">
        <v>19</v>
      </c>
      <c r="B23" s="1">
        <v>44000</v>
      </c>
    </row>
    <row r="24" spans="1:11" x14ac:dyDescent="0.25">
      <c r="A24" s="3" t="s">
        <v>15</v>
      </c>
      <c r="B24" s="1">
        <v>31000</v>
      </c>
    </row>
    <row r="25" spans="1:11" x14ac:dyDescent="0.25">
      <c r="A25" s="3" t="s">
        <v>10</v>
      </c>
      <c r="B25" s="1">
        <v>84000</v>
      </c>
    </row>
    <row r="26" spans="1:11" x14ac:dyDescent="0.25">
      <c r="A26" s="3" t="s">
        <v>23</v>
      </c>
      <c r="B26" s="1">
        <v>83000</v>
      </c>
    </row>
    <row r="27" spans="1:11" x14ac:dyDescent="0.25">
      <c r="A27" s="3" t="s">
        <v>49</v>
      </c>
      <c r="B27" s="1">
        <v>242000</v>
      </c>
    </row>
    <row r="35" spans="1:2" x14ac:dyDescent="0.25">
      <c r="A35" s="5" t="s">
        <v>5</v>
      </c>
      <c r="B35" s="5"/>
    </row>
    <row r="37" spans="1:2" x14ac:dyDescent="0.25">
      <c r="A37" s="2" t="s">
        <v>48</v>
      </c>
      <c r="B37" t="s">
        <v>47</v>
      </c>
    </row>
    <row r="38" spans="1:2" x14ac:dyDescent="0.25">
      <c r="A38" s="3" t="s">
        <v>12</v>
      </c>
      <c r="B38" s="1">
        <v>193000</v>
      </c>
    </row>
    <row r="39" spans="1:2" x14ac:dyDescent="0.25">
      <c r="A39" s="3" t="s">
        <v>25</v>
      </c>
      <c r="B39" s="1">
        <v>49000</v>
      </c>
    </row>
    <row r="40" spans="1:2" x14ac:dyDescent="0.25">
      <c r="A40" s="3" t="s">
        <v>49</v>
      </c>
      <c r="B40" s="1">
        <v>242000</v>
      </c>
    </row>
    <row r="61" spans="1:1" x14ac:dyDescent="0.25">
      <c r="A61" s="10" t="s">
        <v>57</v>
      </c>
    </row>
    <row r="62" spans="1:1" x14ac:dyDescent="0.25">
      <c r="A62" t="s">
        <v>56</v>
      </c>
    </row>
    <row r="63" spans="1:1" x14ac:dyDescent="0.25">
      <c r="A63" s="1">
        <v>12078</v>
      </c>
    </row>
  </sheetData>
  <mergeCells count="4">
    <mergeCell ref="A20:B20"/>
    <mergeCell ref="J19:K19"/>
    <mergeCell ref="J2:K2"/>
    <mergeCell ref="A35:B35"/>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U5"/>
  <sheetViews>
    <sheetView tabSelected="1" zoomScale="70" zoomScaleNormal="70" workbookViewId="0">
      <selection activeCell="G3" sqref="G3"/>
    </sheetView>
  </sheetViews>
  <sheetFormatPr defaultRowHeight="15" x14ac:dyDescent="0.25"/>
  <cols>
    <col min="1" max="1" width="9.140625" style="4"/>
    <col min="2" max="2" width="29" style="4" customWidth="1"/>
    <col min="3" max="3" width="9.140625" style="4"/>
    <col min="4" max="4" width="24.28515625" style="4" customWidth="1"/>
    <col min="5" max="16384" width="9.140625" style="4"/>
  </cols>
  <sheetData>
    <row r="1" spans="2:21" ht="46.5" x14ac:dyDescent="0.7">
      <c r="B1" s="16" t="s">
        <v>55</v>
      </c>
      <c r="C1" s="16"/>
      <c r="D1" s="16"/>
      <c r="E1" s="16"/>
      <c r="F1" s="16"/>
      <c r="G1" s="16"/>
      <c r="H1" s="16"/>
      <c r="I1" s="16"/>
      <c r="J1" s="16"/>
      <c r="K1" s="16"/>
      <c r="L1" s="16"/>
      <c r="M1" s="16"/>
      <c r="N1" s="16"/>
      <c r="O1" s="16"/>
      <c r="P1" s="16"/>
      <c r="Q1" s="16"/>
      <c r="R1" s="16"/>
      <c r="S1" s="16"/>
      <c r="T1" s="16"/>
      <c r="U1" s="16"/>
    </row>
    <row r="3" spans="2:21" ht="28.5" x14ac:dyDescent="0.45">
      <c r="B3" s="9" t="s">
        <v>51</v>
      </c>
      <c r="D3" s="11" t="s">
        <v>57</v>
      </c>
    </row>
    <row r="4" spans="2:21" ht="21" x14ac:dyDescent="0.35">
      <c r="B4" s="12" t="s">
        <v>47</v>
      </c>
      <c r="D4" s="13" t="s">
        <v>56</v>
      </c>
    </row>
    <row r="5" spans="2:21" ht="21" x14ac:dyDescent="0.35">
      <c r="B5" s="14">
        <v>242000</v>
      </c>
      <c r="D5" s="15">
        <v>12078</v>
      </c>
    </row>
  </sheetData>
  <mergeCells count="1">
    <mergeCell ref="B1:U1"/>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C4" sqref="C4"/>
    </sheetView>
  </sheetViews>
  <sheetFormatPr defaultRowHeight="15" x14ac:dyDescent="0.25"/>
  <cols>
    <col min="1" max="1" width="14.5703125" customWidth="1"/>
    <col min="2" max="2" width="12.7109375" customWidth="1"/>
    <col min="3" max="3" width="19.5703125" customWidth="1"/>
    <col min="4" max="4" width="11.85546875" customWidth="1"/>
    <col min="5" max="5" width="10" customWidth="1"/>
    <col min="6" max="6" width="13.28515625" customWidth="1"/>
    <col min="7" max="7" width="17.28515625" customWidth="1"/>
    <col min="8" max="9" width="10.85546875" customWidth="1"/>
    <col min="10" max="10" width="16.42578125" customWidth="1"/>
  </cols>
  <sheetData>
    <row r="1" spans="1:10" x14ac:dyDescent="0.25">
      <c r="A1" t="s">
        <v>0</v>
      </c>
      <c r="B1" t="s">
        <v>1</v>
      </c>
      <c r="C1" t="s">
        <v>2</v>
      </c>
      <c r="D1" t="s">
        <v>3</v>
      </c>
      <c r="E1" t="s">
        <v>4</v>
      </c>
      <c r="F1" t="s">
        <v>5</v>
      </c>
      <c r="G1" t="s">
        <v>6</v>
      </c>
      <c r="H1" t="s">
        <v>7</v>
      </c>
      <c r="I1" t="s">
        <v>45</v>
      </c>
      <c r="J1" t="s">
        <v>46</v>
      </c>
    </row>
    <row r="2" spans="1:10" x14ac:dyDescent="0.25">
      <c r="A2">
        <v>1001</v>
      </c>
      <c r="B2" t="s">
        <v>8</v>
      </c>
      <c r="C2" t="s">
        <v>9</v>
      </c>
      <c r="D2" t="s">
        <v>10</v>
      </c>
      <c r="E2" t="s">
        <v>11</v>
      </c>
      <c r="F2" t="s">
        <v>12</v>
      </c>
      <c r="G2">
        <v>55000</v>
      </c>
      <c r="H2">
        <v>1</v>
      </c>
      <c r="I2" t="str">
        <f>TEXT(Table1[[#This Row],[Date]],"MMM")</f>
        <v>Jan</v>
      </c>
      <c r="J2" t="str">
        <f>IF(Table1[[#This Row],[Sales Amount]]&gt;20000,"High",IF(Table1[[#This Row],[Sales Amount]]&gt;=10000,"Medium","low"))</f>
        <v>High</v>
      </c>
    </row>
    <row r="3" spans="1:10" x14ac:dyDescent="0.25">
      <c r="A3">
        <v>1002</v>
      </c>
      <c r="B3" t="s">
        <v>13</v>
      </c>
      <c r="C3" t="s">
        <v>14</v>
      </c>
      <c r="D3" t="s">
        <v>15</v>
      </c>
      <c r="E3" t="s">
        <v>16</v>
      </c>
      <c r="F3" t="s">
        <v>12</v>
      </c>
      <c r="G3">
        <v>20000</v>
      </c>
      <c r="H3">
        <v>2</v>
      </c>
      <c r="I3" t="str">
        <f>TEXT(Table1[[#This Row],[Date]],"MMM")</f>
        <v>Jan</v>
      </c>
      <c r="J3" t="str">
        <f>IF(Table1[[#This Row],[Sales Amount]]&gt;20000,"High",IF(Table1[[#This Row],[Sales Amount]]&gt;=10000,"Medium","low"))</f>
        <v>Medium</v>
      </c>
    </row>
    <row r="4" spans="1:10" x14ac:dyDescent="0.25">
      <c r="A4">
        <v>1003</v>
      </c>
      <c r="B4" t="s">
        <v>17</v>
      </c>
      <c r="C4" t="s">
        <v>18</v>
      </c>
      <c r="D4" t="s">
        <v>19</v>
      </c>
      <c r="E4" t="s">
        <v>20</v>
      </c>
      <c r="F4" t="s">
        <v>12</v>
      </c>
      <c r="G4">
        <v>15000</v>
      </c>
      <c r="H4">
        <v>1</v>
      </c>
      <c r="I4" t="str">
        <f>TEXT(Table1[[#This Row],[Date]],"MMM")</f>
        <v>Jan</v>
      </c>
      <c r="J4" t="str">
        <f>IF(Table1[[#This Row],[Sales Amount]]&gt;20000,"High",IF(Table1[[#This Row],[Sales Amount]]&gt;=10000,"Medium","low"))</f>
        <v>Medium</v>
      </c>
    </row>
    <row r="5" spans="1:10" x14ac:dyDescent="0.25">
      <c r="A5">
        <v>1004</v>
      </c>
      <c r="B5" t="s">
        <v>21</v>
      </c>
      <c r="C5" t="s">
        <v>22</v>
      </c>
      <c r="D5" t="s">
        <v>23</v>
      </c>
      <c r="E5" t="s">
        <v>24</v>
      </c>
      <c r="F5" t="s">
        <v>25</v>
      </c>
      <c r="G5">
        <v>5000</v>
      </c>
      <c r="H5">
        <v>3</v>
      </c>
      <c r="I5" t="str">
        <f>TEXT(Table1[[#This Row],[Date]],"MMM")</f>
        <v>Jan</v>
      </c>
      <c r="J5" t="str">
        <f>IF(Table1[[#This Row],[Sales Amount]]&gt;20000,"High",IF(Table1[[#This Row],[Sales Amount]]&gt;=10000,"Medium","low"))</f>
        <v>low</v>
      </c>
    </row>
    <row r="6" spans="1:10" x14ac:dyDescent="0.25">
      <c r="A6">
        <v>1005</v>
      </c>
      <c r="B6" t="s">
        <v>26</v>
      </c>
      <c r="C6" t="s">
        <v>27</v>
      </c>
      <c r="D6" t="s">
        <v>10</v>
      </c>
      <c r="E6" t="s">
        <v>28</v>
      </c>
      <c r="F6" t="s">
        <v>25</v>
      </c>
      <c r="G6">
        <v>7000</v>
      </c>
      <c r="H6">
        <v>2</v>
      </c>
      <c r="I6" t="str">
        <f>TEXT(Table1[[#This Row],[Date]],"MMM")</f>
        <v>Jan</v>
      </c>
      <c r="J6" t="str">
        <f>IF(Table1[[#This Row],[Sales Amount]]&gt;20000,"High",IF(Table1[[#This Row],[Sales Amount]]&gt;=10000,"Medium","low"))</f>
        <v>low</v>
      </c>
    </row>
    <row r="7" spans="1:10" x14ac:dyDescent="0.25">
      <c r="A7">
        <v>1006</v>
      </c>
      <c r="B7" t="s">
        <v>29</v>
      </c>
      <c r="C7" t="s">
        <v>30</v>
      </c>
      <c r="D7" t="s">
        <v>15</v>
      </c>
      <c r="E7" t="s">
        <v>31</v>
      </c>
      <c r="F7" t="s">
        <v>12</v>
      </c>
      <c r="G7">
        <v>3000</v>
      </c>
      <c r="H7">
        <v>4</v>
      </c>
      <c r="I7" t="str">
        <f>TEXT(Table1[[#This Row],[Date]],"MMM")</f>
        <v>Jan</v>
      </c>
      <c r="J7" t="str">
        <f>IF(Table1[[#This Row],[Sales Amount]]&gt;20000,"High",IF(Table1[[#This Row],[Sales Amount]]&gt;=10000,"Medium","low"))</f>
        <v>low</v>
      </c>
    </row>
    <row r="8" spans="1:10" x14ac:dyDescent="0.25">
      <c r="A8">
        <v>1007</v>
      </c>
      <c r="B8" t="s">
        <v>32</v>
      </c>
      <c r="C8" t="s">
        <v>33</v>
      </c>
      <c r="D8" t="s">
        <v>19</v>
      </c>
      <c r="E8" t="s">
        <v>34</v>
      </c>
      <c r="F8" t="s">
        <v>25</v>
      </c>
      <c r="G8">
        <v>25000</v>
      </c>
      <c r="H8">
        <v>1</v>
      </c>
      <c r="I8" t="str">
        <f>TEXT(Table1[[#This Row],[Date]],"MMM")</f>
        <v>Jan</v>
      </c>
      <c r="J8" t="str">
        <f>IF(Table1[[#This Row],[Sales Amount]]&gt;20000,"High",IF(Table1[[#This Row],[Sales Amount]]&gt;=10000,"Medium","low"))</f>
        <v>High</v>
      </c>
    </row>
    <row r="9" spans="1:10" x14ac:dyDescent="0.25">
      <c r="A9">
        <v>1008</v>
      </c>
      <c r="B9" t="s">
        <v>35</v>
      </c>
      <c r="C9" t="s">
        <v>36</v>
      </c>
      <c r="D9" t="s">
        <v>23</v>
      </c>
      <c r="E9" t="s">
        <v>11</v>
      </c>
      <c r="F9" t="s">
        <v>12</v>
      </c>
      <c r="G9">
        <v>60000</v>
      </c>
      <c r="H9">
        <v>1</v>
      </c>
      <c r="I9" t="str">
        <f>TEXT(Table1[[#This Row],[Date]],"MMM")</f>
        <v>Jan</v>
      </c>
      <c r="J9" t="str">
        <f>IF(Table1[[#This Row],[Sales Amount]]&gt;20000,"High",IF(Table1[[#This Row],[Sales Amount]]&gt;=10000,"Medium","low"))</f>
        <v>High</v>
      </c>
    </row>
    <row r="10" spans="1:10" x14ac:dyDescent="0.25">
      <c r="A10">
        <v>1009</v>
      </c>
      <c r="B10" t="s">
        <v>37</v>
      </c>
      <c r="C10" t="s">
        <v>38</v>
      </c>
      <c r="D10" t="s">
        <v>10</v>
      </c>
      <c r="E10" t="s">
        <v>16</v>
      </c>
      <c r="F10" t="s">
        <v>12</v>
      </c>
      <c r="G10">
        <v>22000</v>
      </c>
      <c r="H10">
        <v>2</v>
      </c>
      <c r="I10" t="str">
        <f>TEXT(Table1[[#This Row],[Date]],"MMM")</f>
        <v>Jan</v>
      </c>
      <c r="J10" t="str">
        <f>IF(Table1[[#This Row],[Sales Amount]]&gt;20000,"High",IF(Table1[[#This Row],[Sales Amount]]&gt;=10000,"Medium","low"))</f>
        <v>High</v>
      </c>
    </row>
    <row r="11" spans="1:10" x14ac:dyDescent="0.25">
      <c r="A11">
        <v>1010</v>
      </c>
      <c r="B11" t="s">
        <v>39</v>
      </c>
      <c r="C11" t="s">
        <v>40</v>
      </c>
      <c r="D11" t="s">
        <v>15</v>
      </c>
      <c r="E11" t="s">
        <v>28</v>
      </c>
      <c r="F11" t="s">
        <v>25</v>
      </c>
      <c r="G11">
        <v>8000</v>
      </c>
      <c r="H11">
        <v>1</v>
      </c>
      <c r="I11" t="str">
        <f>TEXT(Table1[[#This Row],[Date]],"MMM")</f>
        <v>Jan</v>
      </c>
      <c r="J11" t="str">
        <f>IF(Table1[[#This Row],[Sales Amount]]&gt;20000,"High",IF(Table1[[#This Row],[Sales Amount]]&gt;=10000,"Medium","low"))</f>
        <v>low</v>
      </c>
    </row>
    <row r="12" spans="1:10" x14ac:dyDescent="0.25">
      <c r="A12">
        <v>1011</v>
      </c>
      <c r="B12" t="s">
        <v>41</v>
      </c>
      <c r="C12" t="s">
        <v>42</v>
      </c>
      <c r="D12" t="s">
        <v>19</v>
      </c>
      <c r="E12" t="s">
        <v>24</v>
      </c>
      <c r="F12" t="s">
        <v>25</v>
      </c>
      <c r="G12">
        <v>4000</v>
      </c>
      <c r="H12">
        <v>2</v>
      </c>
      <c r="I12" t="str">
        <f>TEXT(Table1[[#This Row],[Date]],"MMM")</f>
        <v>Jan</v>
      </c>
      <c r="J12" t="str">
        <f>IF(Table1[[#This Row],[Sales Amount]]&gt;20000,"High",IF(Table1[[#This Row],[Sales Amount]]&gt;=10000,"Medium","low"))</f>
        <v>low</v>
      </c>
    </row>
    <row r="13" spans="1:10" x14ac:dyDescent="0.25">
      <c r="A13">
        <v>1012</v>
      </c>
      <c r="B13" t="s">
        <v>43</v>
      </c>
      <c r="C13" t="s">
        <v>44</v>
      </c>
      <c r="D13" t="s">
        <v>23</v>
      </c>
      <c r="E13" t="s">
        <v>20</v>
      </c>
      <c r="F13" t="s">
        <v>12</v>
      </c>
      <c r="G13">
        <v>18000</v>
      </c>
      <c r="H13">
        <v>1</v>
      </c>
      <c r="I13" t="str">
        <f>TEXT(Table1[[#This Row],[Date]],"MMM")</f>
        <v>Jan</v>
      </c>
      <c r="J13" t="str">
        <f>IF(Table1[[#This Row],[Sales Amount]]&gt;20000,"High",IF(Table1[[#This Row],[Sales Amount]]&gt;=10000,"Medium","low"))</f>
        <v>Medium</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Performance Dashboard</vt:lpstr>
      <vt:lpstr>pivots</vt:lpstr>
      <vt:lpstr>SALES DASHBOARD</vt:lpstr>
      <vt:lpstr>Sales_Data_Raw</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2026-03-30T14:34:18Z</dcterms:created>
  <dcterms:modified xsi:type="dcterms:W3CDTF">2026-03-30T16:26:20Z</dcterms:modified>
</cp:coreProperties>
</file>