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OneDrive\Desktop\da\Projects\excel projects\"/>
    </mc:Choice>
  </mc:AlternateContent>
  <bookViews>
    <workbookView xWindow="0" yWindow="0" windowWidth="12450" windowHeight="4890"/>
  </bookViews>
  <sheets>
    <sheet name="Dashboard" sheetId="3" r:id="rId1"/>
    <sheet name="Analysis" sheetId="2" r:id="rId2"/>
    <sheet name="Raw" sheetId="1" r:id="rId3"/>
  </sheets>
  <definedNames>
    <definedName name="Slicer_Department">#N/A</definedName>
    <definedName name="Slicer_Performance">#N/A</definedName>
  </definedNames>
  <calcPr calcId="152511"/>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3" l="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P3" i="3"/>
  <c r="B3" i="3"/>
</calcChain>
</file>

<file path=xl/sharedStrings.xml><?xml version="1.0" encoding="utf-8"?>
<sst xmlns="http://schemas.openxmlformats.org/spreadsheetml/2006/main" count="129" uniqueCount="69">
  <si>
    <t>Employee</t>
  </si>
  <si>
    <t>Department</t>
  </si>
  <si>
    <t>Salary</t>
  </si>
  <si>
    <t>Attendance</t>
  </si>
  <si>
    <t>Rating</t>
  </si>
  <si>
    <t>E1</t>
  </si>
  <si>
    <t>HR</t>
  </si>
  <si>
    <t>E2</t>
  </si>
  <si>
    <t>IT</t>
  </si>
  <si>
    <t>E3</t>
  </si>
  <si>
    <t>Sales</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</si>
  <si>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</si>
  <si>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</si>
  <si>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</si>
  <si>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</si>
  <si>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</si>
  <si>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</si>
  <si>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</si>
  <si>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</si>
  <si>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</si>
  <si>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</si>
  <si>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</si>
  <si>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</si>
  <si>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</si>
  <si>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</si>
  <si>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</si>
  <si>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</si>
  <si>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</si>
  <si>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</si>
  <si>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</si>
  <si>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</si>
  <si>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</si>
  <si>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</si>
  <si>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</si>
  <si>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</si>
  <si>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</si>
  <si>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</si>
  <si>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</si>
  <si>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</si>
  <si>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</si>
  <si>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</si>
  <si>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</si>
  <si>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</si>
  <si>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</si>
  <si>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</si>
  <si>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</si>
  <si>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</si>
  <si>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</si>
  <si>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</si>
  <si>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</si>
  <si>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</si>
  <si>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</si>
  <si>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</si>
  <si>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</si>
  <si>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</si>
  <si>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</si>
  <si>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</si>
  <si>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</si>
  <si>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Performance</t>
  </si>
  <si>
    <t>Bonus</t>
  </si>
  <si>
    <t>Row Labels</t>
  </si>
  <si>
    <t>Grand Total</t>
  </si>
  <si>
    <t>Sum of Salary</t>
  </si>
  <si>
    <t>Count of Employee</t>
  </si>
  <si>
    <t>Average of Rating</t>
  </si>
  <si>
    <t>Total Emploee</t>
  </si>
  <si>
    <t>Avg Salary</t>
  </si>
  <si>
    <t>Avg Rating</t>
  </si>
  <si>
    <t>Employee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</si>
</sst>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1"/>
      <color theme="1"/>
      <name val="Calibri"/>
      <scheme val="minor"/>
    </font>
    <font>
      <b/>
      <sz val="16"/>
      <color theme="1"/>
      <name val="Arial"/>
      <family val="2"/>
    </font>
    <font>
      <b/>
      <sz val="20"/>
      <color theme="1"/>
      <name val="Arial"/>
      <family val="2"/>
    </font>
    <font>
      <b/>
      <sz val="11"/>
      <color theme="1"/>
      <name val="Arial"/>
      <family val="2"/>
    </font>
    <font>
      <b/>
      <sz val="22"/>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8" tint="0.59999389629810485"/>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9" fontId="0" fillId="0" borderId="0" xfId="0" applyNumberFormat="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2" borderId="0" xfId="0" applyFont="1" applyFill="1"/>
    <xf numFmtId="0" fontId="5" fillId="2" borderId="0" xfId="0" applyFont="1" applyFill="1"/>
    <xf numFmtId="0" fontId="6" fillId="3" borderId="0" xfId="0" applyFont="1" applyFill="1" applyAlignment="1">
      <alignment horizontal="center"/>
    </xf>
    <xf numFmtId="0" fontId="3" fillId="4" borderId="0" xfId="0" applyFont="1" applyFill="1"/>
  </cellXfs>
  <cellStyles count="1">
    <cellStyle name="Normal" xfId="0" builtinId="0"/>
  </cellStyles>
  <dxfs count="9">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3"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_Dashboardd.xlsx]Analysis!PivotTable1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By Department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Analysis!$A$4:$A$7</c:f>
              <c:strCache>
                <c:ptCount val="3"/>
                <c:pt idx="0">
                  <c:v>HR</c:v>
                </c:pt>
                <c:pt idx="1">
                  <c:v>IT</c:v>
                </c:pt>
                <c:pt idx="2">
                  <c:v>Sales</c:v>
                </c:pt>
              </c:strCache>
            </c:strRef>
          </c:cat>
          <c:val>
            <c:numRef>
              <c:f>Analysis!$B$4:$B$7</c:f>
              <c:numCache>
                <c:formatCode>General</c:formatCode>
                <c:ptCount val="3"/>
                <c:pt idx="0">
                  <c:v>401500</c:v>
                </c:pt>
                <c:pt idx="1">
                  <c:v>598500</c:v>
                </c:pt>
                <c:pt idx="2">
                  <c:v>439000</c:v>
                </c:pt>
              </c:numCache>
            </c:numRef>
          </c:val>
        </c:ser>
        <c:dLbls>
          <c:showLegendKey val="0"/>
          <c:showVal val="0"/>
          <c:showCatName val="0"/>
          <c:showSerName val="0"/>
          <c:showPercent val="0"/>
          <c:showBubbleSize val="0"/>
        </c:dLbls>
        <c:gapWidth val="219"/>
        <c:overlap val="-27"/>
        <c:axId val="330469752"/>
        <c:axId val="330470144"/>
      </c:barChart>
      <c:catAx>
        <c:axId val="330469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70144"/>
        <c:crosses val="autoZero"/>
        <c:auto val="1"/>
        <c:lblAlgn val="ctr"/>
        <c:lblOffset val="100"/>
        <c:noMultiLvlLbl val="0"/>
      </c:catAx>
      <c:valAx>
        <c:axId val="33047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69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_Dashboardd.xlsx]Analysis!PivotTable2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By Department</a:t>
            </a:r>
          </a:p>
          <a:p>
            <a:pPr>
              <a:defRPr/>
            </a:pP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Analysis!$F$4:$F$7</c:f>
              <c:strCache>
                <c:ptCount val="3"/>
                <c:pt idx="0">
                  <c:v>HR</c:v>
                </c:pt>
                <c:pt idx="1">
                  <c:v>IT</c:v>
                </c:pt>
                <c:pt idx="2">
                  <c:v>Sales</c:v>
                </c:pt>
              </c:strCache>
            </c:strRef>
          </c:cat>
          <c:val>
            <c:numRef>
              <c:f>Analysis!$G$4:$G$7</c:f>
              <c:numCache>
                <c:formatCode>General</c:formatCode>
                <c:ptCount val="3"/>
                <c:pt idx="0">
                  <c:v>17</c:v>
                </c:pt>
                <c:pt idx="1">
                  <c:v>17</c:v>
                </c:pt>
                <c:pt idx="2">
                  <c:v>16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_Dashboardd.xlsx]Analysis!PivotTable3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a:t>
            </a:r>
            <a:r>
              <a:rPr lang="en-IN" baseline="0"/>
              <a:t>verage By Department</a:t>
            </a:r>
          </a:p>
          <a:p>
            <a:pPr>
              <a:defRPr/>
            </a:pP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Analysis!$L$3</c:f>
              <c:strCache>
                <c:ptCount val="1"/>
                <c:pt idx="0">
                  <c:v>Total</c:v>
                </c:pt>
              </c:strCache>
            </c:strRef>
          </c:tx>
          <c:spPr>
            <a:solidFill>
              <a:schemeClr val="accent1"/>
            </a:solidFill>
            <a:ln>
              <a:noFill/>
            </a:ln>
            <a:effectLst/>
          </c:spPr>
          <c:invertIfNegative val="0"/>
          <c:cat>
            <c:strRef>
              <c:f>Analysis!$K$4:$K$7</c:f>
              <c:strCache>
                <c:ptCount val="3"/>
                <c:pt idx="0">
                  <c:v>HR</c:v>
                </c:pt>
                <c:pt idx="1">
                  <c:v>IT</c:v>
                </c:pt>
                <c:pt idx="2">
                  <c:v>Sales</c:v>
                </c:pt>
              </c:strCache>
            </c:strRef>
          </c:cat>
          <c:val>
            <c:numRef>
              <c:f>Analysis!$L$4:$L$7</c:f>
              <c:numCache>
                <c:formatCode>General</c:formatCode>
                <c:ptCount val="3"/>
                <c:pt idx="0">
                  <c:v>2.1176470588235294</c:v>
                </c:pt>
                <c:pt idx="1">
                  <c:v>4.7647058823529411</c:v>
                </c:pt>
                <c:pt idx="2">
                  <c:v>3.375</c:v>
                </c:pt>
              </c:numCache>
            </c:numRef>
          </c:val>
        </c:ser>
        <c:dLbls>
          <c:showLegendKey val="0"/>
          <c:showVal val="0"/>
          <c:showCatName val="0"/>
          <c:showSerName val="0"/>
          <c:showPercent val="0"/>
          <c:showBubbleSize val="0"/>
        </c:dLbls>
        <c:gapWidth val="182"/>
        <c:axId val="399526944"/>
        <c:axId val="399525768"/>
      </c:barChart>
      <c:catAx>
        <c:axId val="39952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25768"/>
        <c:crosses val="autoZero"/>
        <c:auto val="1"/>
        <c:lblAlgn val="ctr"/>
        <c:lblOffset val="100"/>
        <c:noMultiLvlLbl val="0"/>
      </c:catAx>
      <c:valAx>
        <c:axId val="399525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526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_Dashboardd.xlsx]Analysis!PivotTable1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By Department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Analysis!$A$4:$A$7</c:f>
              <c:strCache>
                <c:ptCount val="3"/>
                <c:pt idx="0">
                  <c:v>HR</c:v>
                </c:pt>
                <c:pt idx="1">
                  <c:v>IT</c:v>
                </c:pt>
                <c:pt idx="2">
                  <c:v>Sales</c:v>
                </c:pt>
              </c:strCache>
            </c:strRef>
          </c:cat>
          <c:val>
            <c:numRef>
              <c:f>Analysis!$B$4:$B$7</c:f>
              <c:numCache>
                <c:formatCode>General</c:formatCode>
                <c:ptCount val="3"/>
                <c:pt idx="0">
                  <c:v>401500</c:v>
                </c:pt>
                <c:pt idx="1">
                  <c:v>598500</c:v>
                </c:pt>
                <c:pt idx="2">
                  <c:v>439000</c:v>
                </c:pt>
              </c:numCache>
            </c:numRef>
          </c:val>
        </c:ser>
        <c:dLbls>
          <c:showLegendKey val="0"/>
          <c:showVal val="0"/>
          <c:showCatName val="0"/>
          <c:showSerName val="0"/>
          <c:showPercent val="0"/>
          <c:showBubbleSize val="0"/>
        </c:dLbls>
        <c:gapWidth val="219"/>
        <c:overlap val="-27"/>
        <c:axId val="332751424"/>
        <c:axId val="332750248"/>
      </c:barChart>
      <c:catAx>
        <c:axId val="33275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50248"/>
        <c:crosses val="autoZero"/>
        <c:auto val="1"/>
        <c:lblAlgn val="ctr"/>
        <c:lblOffset val="100"/>
        <c:noMultiLvlLbl val="0"/>
      </c:catAx>
      <c:valAx>
        <c:axId val="332750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751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_Dashboardd.xlsx]Analysis!PivotTable2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By Department</a:t>
            </a:r>
          </a:p>
          <a:p>
            <a:pPr>
              <a:defRPr/>
            </a:pP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Analysis!$G$3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Analysis!$F$4:$F$7</c:f>
              <c:strCache>
                <c:ptCount val="3"/>
                <c:pt idx="0">
                  <c:v>HR</c:v>
                </c:pt>
                <c:pt idx="1">
                  <c:v>IT</c:v>
                </c:pt>
                <c:pt idx="2">
                  <c:v>Sales</c:v>
                </c:pt>
              </c:strCache>
            </c:strRef>
          </c:cat>
          <c:val>
            <c:numRef>
              <c:f>Analysis!$G$4:$G$7</c:f>
              <c:numCache>
                <c:formatCode>General</c:formatCode>
                <c:ptCount val="3"/>
                <c:pt idx="0">
                  <c:v>17</c:v>
                </c:pt>
                <c:pt idx="1">
                  <c:v>17</c:v>
                </c:pt>
                <c:pt idx="2">
                  <c:v>16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_Dashboardd.xlsx]Analysis!PivotTable3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a:t>
            </a:r>
            <a:r>
              <a:rPr lang="en-IN" baseline="0"/>
              <a:t>verage By Department</a:t>
            </a:r>
          </a:p>
          <a:p>
            <a:pPr>
              <a:defRPr/>
            </a:pP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Analysis!$L$3</c:f>
              <c:strCache>
                <c:ptCount val="1"/>
                <c:pt idx="0">
                  <c:v>Total</c:v>
                </c:pt>
              </c:strCache>
            </c:strRef>
          </c:tx>
          <c:spPr>
            <a:solidFill>
              <a:schemeClr val="accent1"/>
            </a:solidFill>
            <a:ln>
              <a:noFill/>
            </a:ln>
            <a:effectLst/>
          </c:spPr>
          <c:invertIfNegative val="0"/>
          <c:cat>
            <c:strRef>
              <c:f>Analysis!$K$4:$K$7</c:f>
              <c:strCache>
                <c:ptCount val="3"/>
                <c:pt idx="0">
                  <c:v>HR</c:v>
                </c:pt>
                <c:pt idx="1">
                  <c:v>IT</c:v>
                </c:pt>
                <c:pt idx="2">
                  <c:v>Sales</c:v>
                </c:pt>
              </c:strCache>
            </c:strRef>
          </c:cat>
          <c:val>
            <c:numRef>
              <c:f>Analysis!$L$4:$L$7</c:f>
              <c:numCache>
                <c:formatCode>General</c:formatCode>
                <c:ptCount val="3"/>
                <c:pt idx="0">
                  <c:v>2.1176470588235294</c:v>
                </c:pt>
                <c:pt idx="1">
                  <c:v>4.7647058823529411</c:v>
                </c:pt>
                <c:pt idx="2">
                  <c:v>3.375</c:v>
                </c:pt>
              </c:numCache>
            </c:numRef>
          </c:val>
        </c:ser>
        <c:dLbls>
          <c:showLegendKey val="0"/>
          <c:showVal val="0"/>
          <c:showCatName val="0"/>
          <c:showSerName val="0"/>
          <c:showPercent val="0"/>
          <c:showBubbleSize val="0"/>
        </c:dLbls>
        <c:gapWidth val="182"/>
        <c:axId val="394380576"/>
        <c:axId val="336523720"/>
      </c:barChart>
      <c:catAx>
        <c:axId val="394380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523720"/>
        <c:crosses val="autoZero"/>
        <c:auto val="1"/>
        <c:lblAlgn val="ctr"/>
        <c:lblOffset val="100"/>
        <c:noMultiLvlLbl val="0"/>
      </c:catAx>
      <c:valAx>
        <c:axId val="336523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380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171450</xdr:colOff>
      <xdr:row>4</xdr:row>
      <xdr:rowOff>123825</xdr:rowOff>
    </xdr:from>
    <xdr:to>
      <xdr:col>5</xdr:col>
      <xdr:colOff>437030</xdr:colOff>
      <xdr:row>19</xdr:row>
      <xdr:rowOff>9525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205067</xdr:colOff>
      <xdr:row>4</xdr:row>
      <xdr:rowOff>141194</xdr:rowOff>
    </xdr:from>
    <xdr:to>
      <xdr:col>12</xdr:col>
      <xdr:colOff>582705</xdr:colOff>
      <xdr:row>19</xdr:row>
      <xdr:rowOff>26894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11205</xdr:colOff>
      <xdr:row>4</xdr:row>
      <xdr:rowOff>132789</xdr:rowOff>
    </xdr:from>
    <xdr:to>
      <xdr:col>20</xdr:col>
      <xdr:colOff>293594</xdr:colOff>
      <xdr:row>19</xdr:row>
      <xdr:rowOff>18489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964826</xdr:colOff>
      <xdr:row>20</xdr:row>
      <xdr:rowOff>140074</xdr:rowOff>
    </xdr:from>
    <xdr:to>
      <xdr:col>2</xdr:col>
      <xdr:colOff>45944</xdr:colOff>
      <xdr:row>33</xdr:row>
      <xdr:rowOff>187699</xdr:rowOff>
    </xdr:to>
    <mc:AlternateContent xmlns:mc="http://schemas.openxmlformats.org/markup-compatibility/2006">
      <mc:Choice xmlns:a14="http://schemas.microsoft.com/office/drawing/2010/main" Requires="a14">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64826" y="4276645"/>
              <a:ext cx="182976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591671</xdr:colOff>
      <xdr:row>21</xdr:row>
      <xdr:rowOff>7284</xdr:rowOff>
    </xdr:from>
    <xdr:to>
      <xdr:col>5</xdr:col>
      <xdr:colOff>598954</xdr:colOff>
      <xdr:row>34</xdr:row>
      <xdr:rowOff>54909</xdr:rowOff>
    </xdr:to>
    <mc:AlternateContent xmlns:mc="http://schemas.openxmlformats.org/markup-compatibility/2006">
      <mc:Choice xmlns:a14="http://schemas.microsoft.com/office/drawing/2010/main" Requires="a14">
        <xdr:graphicFrame macro="">
          <xdr:nvGraphicFramePr>
            <xdr:cNvPr id="6" name="Performance"/>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dr:sp macro="" textlink="">
          <xdr:nvSpPr>
            <xdr:cNvPr id="0" name=""/>
            <xdr:cNvSpPr>
              <a:spLocks noTextEdit="1"/>
            </xdr:cNvSpPr>
          </xdr:nvSpPr>
          <xdr:spPr>
            <a:xfrm>
              <a:off x="3340314" y="4334355"/>
              <a:ext cx="184424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19050</xdr:rowOff>
    </xdr:from>
    <xdr:to>
      <xdr:col>6</xdr:col>
      <xdr:colOff>133350</xdr:colOff>
      <xdr:row>24</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390525</xdr:colOff>
      <xdr:row>10</xdr:row>
      <xdr:rowOff>9525</xdr:rowOff>
    </xdr:from>
    <xdr:to>
      <xdr:col>11</xdr:col>
      <xdr:colOff>1047750</xdr:colOff>
      <xdr:row>24</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476250</xdr:colOff>
      <xdr:row>9</xdr:row>
      <xdr:rowOff>152400</xdr:rowOff>
    </xdr:from>
    <xdr:to>
      <xdr:col>20</xdr:col>
      <xdr:colOff>171450</xdr:colOff>
      <xdr:row>24</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28.496318171296" createdVersion="5" refreshedVersion="5" minRefreshableVersion="3" recordCount="50">
  <cacheSource type="worksheet">
    <worksheetSource name="Table1"/>
  </cacheSource>
  <cacheFields count="7">
    <cacheField name="Employee" numFmtId="0">
      <sharedItems/>
    </cacheField>
    <cacheField name="Department" numFmtId="0">
      <sharedItems count="3">
        <s v="HR"/>
        <s v="IT"/>
        <s v="Sales"/>
      </sharedItems>
    </cacheField>
    <cacheField name="Salary" numFmtId="0">
      <sharedItems containsSemiMixedTypes="0" containsString="0" containsNumber="1" containsInteger="1" minValue="21000" maxValue="40000"/>
    </cacheField>
    <cacheField name="Attendance" numFmtId="9">
      <sharedItems containsSemiMixedTypes="0" containsString="0" containsNumber="1" minValue="0.68" maxValue="0.97"/>
    </cacheField>
    <cacheField name="Rating" numFmtId="0">
      <sharedItems containsSemiMixedTypes="0" containsString="0" containsNumber="1" containsInteger="1" minValue="1" maxValue="5"/>
    </cacheField>
    <cacheField name="Performance" numFmtId="0">
      <sharedItems count="3">
        <s v="LOW"/>
        <s v="HIGH"/>
        <s v="MEDIUM"/>
      </sharedItems>
    </cacheField>
    <cacheField name="Bonus" numFmtId="0">
      <sharedItems containsSemiMixedTypes="0" containsString="0" containsNumber="1" containsInteger="1" minValue="2000" maxValue="5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s v="E1"/>
    <x v="0"/>
    <n v="22000"/>
    <n v="0.75"/>
    <n v="2"/>
    <x v="0"/>
    <n v="2000"/>
  </r>
  <r>
    <s v="E2"/>
    <x v="1"/>
    <n v="35000"/>
    <n v="0.92"/>
    <n v="5"/>
    <x v="1"/>
    <n v="5000"/>
  </r>
  <r>
    <s v="E3"/>
    <x v="2"/>
    <n v="27000"/>
    <n v="0.85"/>
    <n v="3"/>
    <x v="2"/>
    <n v="3000"/>
  </r>
  <r>
    <s v="E4"/>
    <x v="1"/>
    <n v="30000"/>
    <n v="0.88"/>
    <n v="4"/>
    <x v="1"/>
    <n v="5000"/>
  </r>
  <r>
    <s v="E5"/>
    <x v="0"/>
    <n v="25000"/>
    <n v="0.8"/>
    <n v="3"/>
    <x v="2"/>
    <n v="3000"/>
  </r>
  <r>
    <s v="E6"/>
    <x v="2"/>
    <n v="26000"/>
    <n v="0.78"/>
    <n v="3"/>
    <x v="2"/>
    <n v="3000"/>
  </r>
  <r>
    <s v="E7"/>
    <x v="1"/>
    <n v="40000"/>
    <n v="0.95"/>
    <n v="5"/>
    <x v="1"/>
    <n v="5000"/>
  </r>
  <r>
    <s v="E8"/>
    <x v="0"/>
    <n v="23000"/>
    <n v="0.7"/>
    <n v="2"/>
    <x v="0"/>
    <n v="2000"/>
  </r>
  <r>
    <s v="E9"/>
    <x v="2"/>
    <n v="28000"/>
    <n v="0.82"/>
    <n v="4"/>
    <x v="1"/>
    <n v="5000"/>
  </r>
  <r>
    <s v="E10"/>
    <x v="1"/>
    <n v="32000"/>
    <n v="0.9"/>
    <n v="5"/>
    <x v="1"/>
    <n v="5000"/>
  </r>
  <r>
    <s v="E11"/>
    <x v="0"/>
    <n v="24000"/>
    <n v="0.76"/>
    <n v="2"/>
    <x v="0"/>
    <n v="2000"/>
  </r>
  <r>
    <s v="E12"/>
    <x v="2"/>
    <n v="27500"/>
    <n v="0.84"/>
    <n v="3"/>
    <x v="2"/>
    <n v="3000"/>
  </r>
  <r>
    <s v="E13"/>
    <x v="1"/>
    <n v="36000"/>
    <n v="0.93"/>
    <n v="5"/>
    <x v="1"/>
    <n v="5000"/>
  </r>
  <r>
    <s v="E14"/>
    <x v="0"/>
    <n v="21000"/>
    <n v="0.68"/>
    <n v="1"/>
    <x v="0"/>
    <n v="2000"/>
  </r>
  <r>
    <s v="E15"/>
    <x v="2"/>
    <n v="29000"/>
    <n v="0.86"/>
    <n v="4"/>
    <x v="1"/>
    <n v="5000"/>
  </r>
  <r>
    <s v="E16"/>
    <x v="1"/>
    <n v="34000"/>
    <n v="0.91"/>
    <n v="5"/>
    <x v="1"/>
    <n v="5000"/>
  </r>
  <r>
    <s v="E17"/>
    <x v="0"/>
    <n v="26000"/>
    <n v="0.82"/>
    <n v="3"/>
    <x v="2"/>
    <n v="3000"/>
  </r>
  <r>
    <s v="E18"/>
    <x v="2"/>
    <n v="25500"/>
    <n v="0.79"/>
    <n v="3"/>
    <x v="2"/>
    <n v="3000"/>
  </r>
  <r>
    <s v="E19"/>
    <x v="1"/>
    <n v="37000"/>
    <n v="0.94"/>
    <n v="5"/>
    <x v="1"/>
    <n v="5000"/>
  </r>
  <r>
    <s v="E20"/>
    <x v="0"/>
    <n v="22500"/>
    <n v="0.72"/>
    <n v="2"/>
    <x v="0"/>
    <n v="2000"/>
  </r>
  <r>
    <s v="E21"/>
    <x v="2"/>
    <n v="26500"/>
    <n v="0.81"/>
    <n v="3"/>
    <x v="2"/>
    <n v="3000"/>
  </r>
  <r>
    <s v="E22"/>
    <x v="1"/>
    <n v="33000"/>
    <n v="0.89"/>
    <n v="4"/>
    <x v="1"/>
    <n v="5000"/>
  </r>
  <r>
    <s v="E23"/>
    <x v="0"/>
    <n v="24500"/>
    <n v="0.77"/>
    <n v="2"/>
    <x v="0"/>
    <n v="2000"/>
  </r>
  <r>
    <s v="E24"/>
    <x v="2"/>
    <n v="28500"/>
    <n v="0.85"/>
    <n v="4"/>
    <x v="1"/>
    <n v="5000"/>
  </r>
  <r>
    <s v="E25"/>
    <x v="1"/>
    <n v="38000"/>
    <n v="0.96"/>
    <n v="5"/>
    <x v="1"/>
    <n v="5000"/>
  </r>
  <r>
    <s v="E26"/>
    <x v="0"/>
    <n v="23500"/>
    <n v="0.74"/>
    <n v="2"/>
    <x v="0"/>
    <n v="2000"/>
  </r>
  <r>
    <s v="E27"/>
    <x v="2"/>
    <n v="27500"/>
    <n v="0.83"/>
    <n v="3"/>
    <x v="2"/>
    <n v="3000"/>
  </r>
  <r>
    <s v="E28"/>
    <x v="1"/>
    <n v="31000"/>
    <n v="0.87"/>
    <n v="4"/>
    <x v="1"/>
    <n v="5000"/>
  </r>
  <r>
    <s v="E29"/>
    <x v="0"/>
    <n v="25500"/>
    <n v="0.81"/>
    <n v="3"/>
    <x v="2"/>
    <n v="3000"/>
  </r>
  <r>
    <s v="E30"/>
    <x v="2"/>
    <n v="29500"/>
    <n v="0.88"/>
    <n v="4"/>
    <x v="1"/>
    <n v="5000"/>
  </r>
  <r>
    <s v="E31"/>
    <x v="1"/>
    <n v="34500"/>
    <n v="0.92"/>
    <n v="5"/>
    <x v="1"/>
    <n v="5000"/>
  </r>
  <r>
    <s v="E32"/>
    <x v="0"/>
    <n v="22000"/>
    <n v="0.69"/>
    <n v="1"/>
    <x v="0"/>
    <n v="2000"/>
  </r>
  <r>
    <s v="E33"/>
    <x v="2"/>
    <n v="27000"/>
    <n v="0.84"/>
    <n v="3"/>
    <x v="2"/>
    <n v="3000"/>
  </r>
  <r>
    <s v="E34"/>
    <x v="1"/>
    <n v="35500"/>
    <n v="0.93"/>
    <n v="5"/>
    <x v="1"/>
    <n v="5000"/>
  </r>
  <r>
    <s v="E35"/>
    <x v="0"/>
    <n v="24000"/>
    <n v="0.76"/>
    <n v="2"/>
    <x v="0"/>
    <n v="2000"/>
  </r>
  <r>
    <s v="E36"/>
    <x v="2"/>
    <n v="26000"/>
    <n v="0.8"/>
    <n v="3"/>
    <x v="2"/>
    <n v="3000"/>
  </r>
  <r>
    <s v="E37"/>
    <x v="1"/>
    <n v="36500"/>
    <n v="0.94"/>
    <n v="5"/>
    <x v="1"/>
    <n v="5000"/>
  </r>
  <r>
    <s v="E38"/>
    <x v="0"/>
    <n v="23000"/>
    <n v="0.73"/>
    <n v="2"/>
    <x v="0"/>
    <n v="2000"/>
  </r>
  <r>
    <s v="E39"/>
    <x v="2"/>
    <n v="28000"/>
    <n v="0.85"/>
    <n v="4"/>
    <x v="1"/>
    <n v="5000"/>
  </r>
  <r>
    <s v="E40"/>
    <x v="1"/>
    <n v="39000"/>
    <n v="0.97"/>
    <n v="5"/>
    <x v="1"/>
    <n v="5000"/>
  </r>
  <r>
    <s v="E41"/>
    <x v="0"/>
    <n v="25000"/>
    <n v="0.82"/>
    <n v="3"/>
    <x v="2"/>
    <n v="3000"/>
  </r>
  <r>
    <s v="E42"/>
    <x v="2"/>
    <n v="27500"/>
    <n v="0.83"/>
    <n v="3"/>
    <x v="2"/>
    <n v="3000"/>
  </r>
  <r>
    <s v="E43"/>
    <x v="1"/>
    <n v="33500"/>
    <n v="0.9"/>
    <n v="4"/>
    <x v="1"/>
    <n v="5000"/>
  </r>
  <r>
    <s v="E44"/>
    <x v="0"/>
    <n v="24500"/>
    <n v="0.78"/>
    <n v="2"/>
    <x v="0"/>
    <n v="2000"/>
  </r>
  <r>
    <s v="E45"/>
    <x v="2"/>
    <n v="29000"/>
    <n v="0.86"/>
    <n v="4"/>
    <x v="1"/>
    <n v="5000"/>
  </r>
  <r>
    <s v="E46"/>
    <x v="1"/>
    <n v="36000"/>
    <n v="0.92"/>
    <n v="5"/>
    <x v="1"/>
    <n v="5000"/>
  </r>
  <r>
    <s v="E47"/>
    <x v="0"/>
    <n v="23500"/>
    <n v="0.75"/>
    <n v="2"/>
    <x v="0"/>
    <n v="2000"/>
  </r>
  <r>
    <s v="E48"/>
    <x v="2"/>
    <n v="26500"/>
    <n v="0.81"/>
    <n v="3"/>
    <x v="2"/>
    <n v="3000"/>
  </r>
  <r>
    <s v="E49"/>
    <x v="1"/>
    <n v="37500"/>
    <n v="0.95"/>
    <n v="5"/>
    <x v="1"/>
    <n v="5000"/>
  </r>
  <r>
    <s v="E50"/>
    <x v="0"/>
    <n v="22500"/>
    <n v="0.72"/>
    <n v="2"/>
    <x v="0"/>
    <n v="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K3:L7" firstHeaderRow="1" firstDataRow="1" firstDataCol="1"/>
  <pivotFields count="7">
    <pivotField showAll="0"/>
    <pivotField axis="axisRow" showAll="0">
      <items count="4">
        <item x="0"/>
        <item x="1"/>
        <item x="2"/>
        <item t="default"/>
      </items>
    </pivotField>
    <pivotField showAll="0"/>
    <pivotField numFmtId="9" showAll="0"/>
    <pivotField dataField="1" showAll="0"/>
    <pivotField showAll="0">
      <items count="4">
        <item x="1"/>
        <item x="0"/>
        <item x="2"/>
        <item t="default"/>
      </items>
    </pivotField>
    <pivotField showAll="0"/>
  </pivotFields>
  <rowFields count="1">
    <field x="1"/>
  </rowFields>
  <rowItems count="4">
    <i>
      <x/>
    </i>
    <i>
      <x v="1"/>
    </i>
    <i>
      <x v="2"/>
    </i>
    <i t="grand">
      <x/>
    </i>
  </rowItems>
  <colItems count="1">
    <i/>
  </colItems>
  <dataFields count="1">
    <dataField name="Average of Rating" fld="4" subtotal="average" baseField="1"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F3:G7" firstHeaderRow="1" firstDataRow="1" firstDataCol="1"/>
  <pivotFields count="7">
    <pivotField dataField="1" showAll="0"/>
    <pivotField axis="axisRow" showAll="0">
      <items count="4">
        <item x="0"/>
        <item x="1"/>
        <item x="2"/>
        <item t="default"/>
      </items>
    </pivotField>
    <pivotField showAll="0"/>
    <pivotField numFmtId="9" showAll="0"/>
    <pivotField showAll="0"/>
    <pivotField showAll="0">
      <items count="4">
        <item x="1"/>
        <item x="0"/>
        <item x="2"/>
        <item t="default"/>
      </items>
    </pivotField>
    <pivotField showAll="0"/>
  </pivotFields>
  <rowFields count="1">
    <field x="1"/>
  </rowFields>
  <rowItems count="4">
    <i>
      <x/>
    </i>
    <i>
      <x v="1"/>
    </i>
    <i>
      <x v="2"/>
    </i>
    <i t="grand">
      <x/>
    </i>
  </rowItems>
  <colItems count="1">
    <i/>
  </colItems>
  <dataFields count="1">
    <dataField name="Count of Employee"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7" firstHeaderRow="1" firstDataRow="1" firstDataCol="1"/>
  <pivotFields count="7">
    <pivotField showAll="0"/>
    <pivotField axis="axisRow" showAll="0">
      <items count="4">
        <item x="0"/>
        <item x="1"/>
        <item x="2"/>
        <item t="default"/>
      </items>
    </pivotField>
    <pivotField dataField="1" showAll="0"/>
    <pivotField numFmtId="9" showAll="0"/>
    <pivotField showAll="0"/>
    <pivotField showAll="0">
      <items count="4">
        <item x="1"/>
        <item x="0"/>
        <item x="2"/>
        <item t="default"/>
      </items>
    </pivotField>
    <pivotField showAll="0"/>
  </pivotFields>
  <rowFields count="1">
    <field x="1"/>
  </rowFields>
  <rowItems count="4">
    <i>
      <x/>
    </i>
    <i>
      <x v="1"/>
    </i>
    <i>
      <x v="2"/>
    </i>
    <i t="grand">
      <x/>
    </i>
  </rowItems>
  <colItems count="1">
    <i/>
  </colItems>
  <dataFields count="1">
    <dataField name="Sum of Salary"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1"/>
    <pivotTable tabId="2" name="PivotTable2"/>
    <pivotTable tabId="2" name="PivotTable3"/>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erformance" sourceName="Performance">
  <pivotTables>
    <pivotTable tabId="2" name="PivotTable1"/>
    <pivotTable tabId="2" name="PivotTable2"/>
    <pivotTable tabId="2" name="PivotTable3"/>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Performance" cache="Slicer_Performance" caption="Performance" rowHeight="241300"/>
</slicers>
</file>

<file path=xl/tables/table1.xml><?xml version="1.0" encoding="utf-8"?>
<table xmlns="http://schemas.openxmlformats.org/spreadsheetml/2006/main" id="1" name="Table1" displayName="Table1" ref="A1:G51" totalsRowShown="0" headerRowDxfId="2" dataDxfId="3">
  <autoFilter ref="A1:G51"/>
  <tableColumns count="7">
    <tableColumn id="1" name="Employee" dataDxfId="8"/>
    <tableColumn id="2" name="Department" dataDxfId="7"/>
    <tableColumn id="3" name="Salary" dataDxfId="6"/>
    <tableColumn id="4" name="Attendance" dataDxfId="5"/>
    <tableColumn id="5" name="Rating" dataDxfId="4"/>
    <tableColumn id="6" name="Performance" dataDxfId="1">
      <calculatedColumnFormula>IF(Table1[[#This Row],[Rating]]&gt;=4,"HIGH",IF(Table1[[#This Row],[Rating]]=3,"MEDIUM",IF(Table1[[#This Row],[Rating]]&lt;=2,"LOW")))</calculatedColumnFormula>
    </tableColumn>
    <tableColumn id="7" name="Bonus" dataDxfId="0">
      <calculatedColumnFormula>IF(Table1[[#This Row],[Performance]]="HIGH",5000,IF(Table1[[#This Row],[Performance]]="MEDIUM",3000,IF(Table1[[#This Row],[Performance]]="LOW",2000)))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tabSelected="1" zoomScale="70" zoomScaleNormal="70" workbookViewId="0">
      <selection activeCell="M22" sqref="M22"/>
    </sheetView>
  </sheetViews>
  <sheetFormatPr defaultRowHeight="15" x14ac:dyDescent="0.25"/>
  <cols>
    <col min="1" max="1" width="32" style="9" customWidth="1"/>
    <col min="2" max="7" width="9.140625" style="9"/>
    <col min="8" max="8" width="16.7109375" style="9" customWidth="1"/>
    <col min="9" max="9" width="17.140625" style="9" customWidth="1"/>
    <col min="10" max="14" width="9.140625" style="9"/>
    <col min="15" max="15" width="18.42578125" style="9" customWidth="1"/>
    <col min="16" max="16384" width="9.140625" style="9"/>
  </cols>
  <sheetData>
    <row r="1" spans="1:16" ht="28.5" x14ac:dyDescent="0.45">
      <c r="A1" s="12" t="s">
        <v>68</v>
      </c>
      <c r="B1" s="12"/>
      <c r="C1" s="12"/>
      <c r="D1" s="12"/>
      <c r="E1" s="12"/>
      <c r="F1" s="12"/>
      <c r="G1" s="12"/>
      <c r="H1" s="12"/>
      <c r="I1" s="12"/>
      <c r="J1" s="12"/>
      <c r="K1" s="12"/>
      <c r="L1" s="12"/>
      <c r="M1" s="12"/>
      <c r="N1" s="12"/>
      <c r="O1" s="12"/>
      <c r="P1" s="12"/>
    </row>
    <row r="3" spans="1:16" ht="26.25" x14ac:dyDescent="0.4">
      <c r="A3" s="13" t="s">
        <v>65</v>
      </c>
      <c r="B3" s="10">
        <f>GETPIVOTDATA("Employee",Analysis!$F$3)</f>
        <v>50</v>
      </c>
      <c r="C3" s="11"/>
      <c r="D3" s="11"/>
      <c r="E3" s="11"/>
      <c r="F3" s="11"/>
      <c r="G3" s="11"/>
      <c r="H3" s="13" t="s">
        <v>66</v>
      </c>
      <c r="I3" s="10">
        <f>AVERAGE(Table1[Salary])</f>
        <v>28780</v>
      </c>
      <c r="J3" s="10"/>
      <c r="K3" s="11"/>
      <c r="L3" s="11"/>
      <c r="M3" s="11"/>
      <c r="N3" s="11"/>
      <c r="O3" s="13" t="s">
        <v>67</v>
      </c>
      <c r="P3" s="10">
        <f>GETPIVOTDATA("Rating",Analysis!$K$3)</f>
        <v>3.42</v>
      </c>
    </row>
  </sheetData>
  <mergeCells count="1">
    <mergeCell ref="A1:P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7"/>
  <sheetViews>
    <sheetView topLeftCell="A3" workbookViewId="0">
      <selection activeCell="B4" sqref="B4"/>
    </sheetView>
  </sheetViews>
  <sheetFormatPr defaultRowHeight="15" x14ac:dyDescent="0.25"/>
  <cols>
    <col min="1" max="1" width="13.140625" bestFit="1" customWidth="1"/>
    <col min="2" max="2" width="12.85546875" bestFit="1" customWidth="1"/>
    <col min="6" max="6" width="13.140625" bestFit="1" customWidth="1"/>
    <col min="7" max="7" width="18.140625" bestFit="1" customWidth="1"/>
    <col min="11" max="11" width="13.140625" bestFit="1" customWidth="1"/>
    <col min="12" max="12" width="16.7109375" bestFit="1" customWidth="1"/>
  </cols>
  <sheetData>
    <row r="3" spans="1:12" x14ac:dyDescent="0.25">
      <c r="A3" s="6" t="s">
        <v>60</v>
      </c>
      <c r="B3" t="s">
        <v>62</v>
      </c>
      <c r="F3" s="6" t="s">
        <v>60</v>
      </c>
      <c r="G3" t="s">
        <v>63</v>
      </c>
      <c r="K3" s="6" t="s">
        <v>60</v>
      </c>
      <c r="L3" t="s">
        <v>64</v>
      </c>
    </row>
    <row r="4" spans="1:12" x14ac:dyDescent="0.25">
      <c r="A4" s="7" t="s">
        <v>6</v>
      </c>
      <c r="B4" s="8">
        <v>401500</v>
      </c>
      <c r="F4" s="7" t="s">
        <v>6</v>
      </c>
      <c r="G4" s="8">
        <v>17</v>
      </c>
      <c r="K4" s="7" t="s">
        <v>6</v>
      </c>
      <c r="L4" s="8">
        <v>2.1176470588235294</v>
      </c>
    </row>
    <row r="5" spans="1:12" x14ac:dyDescent="0.25">
      <c r="A5" s="7" t="s">
        <v>8</v>
      </c>
      <c r="B5" s="8">
        <v>598500</v>
      </c>
      <c r="F5" s="7" t="s">
        <v>8</v>
      </c>
      <c r="G5" s="8">
        <v>17</v>
      </c>
      <c r="K5" s="7" t="s">
        <v>8</v>
      </c>
      <c r="L5" s="8">
        <v>4.7647058823529411</v>
      </c>
    </row>
    <row r="6" spans="1:12" x14ac:dyDescent="0.25">
      <c r="A6" s="7" t="s">
        <v>10</v>
      </c>
      <c r="B6" s="8">
        <v>439000</v>
      </c>
      <c r="F6" s="7" t="s">
        <v>10</v>
      </c>
      <c r="G6" s="8">
        <v>16</v>
      </c>
      <c r="K6" s="7" t="s">
        <v>10</v>
      </c>
      <c r="L6" s="8">
        <v>3.375</v>
      </c>
    </row>
    <row r="7" spans="1:12" x14ac:dyDescent="0.25">
      <c r="A7" s="7" t="s">
        <v>61</v>
      </c>
      <c r="B7" s="8">
        <v>1439000</v>
      </c>
      <c r="F7" s="7" t="s">
        <v>61</v>
      </c>
      <c r="G7" s="8">
        <v>50</v>
      </c>
      <c r="K7" s="7" t="s">
        <v>61</v>
      </c>
      <c r="L7" s="8">
        <v>3.42</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33" workbookViewId="0">
      <selection activeCell="E12" sqref="E12"/>
    </sheetView>
  </sheetViews>
  <sheetFormatPr defaultRowHeight="15" x14ac:dyDescent="0.25"/>
  <cols>
    <col min="1" max="1" width="16" style="4" customWidth="1"/>
    <col min="2" max="2" width="16.28515625" style="4" bestFit="1" customWidth="1"/>
    <col min="3" max="3" width="14.7109375" style="4" customWidth="1"/>
    <col min="4" max="4" width="17.85546875" style="4" customWidth="1"/>
    <col min="5" max="5" width="13" style="4" customWidth="1"/>
    <col min="6" max="6" width="20.5703125" style="4" customWidth="1"/>
    <col min="7" max="16384" width="9.140625" style="4"/>
  </cols>
  <sheetData>
    <row r="1" spans="1:7" x14ac:dyDescent="0.25">
      <c r="A1" s="2" t="s">
        <v>0</v>
      </c>
      <c r="B1" s="2" t="s">
        <v>1</v>
      </c>
      <c r="C1" s="2" t="s">
        <v>2</v>
      </c>
      <c r="D1" s="2" t="s">
        <v>3</v>
      </c>
      <c r="E1" s="2" t="s">
        <v>4</v>
      </c>
      <c r="F1" s="5" t="s">
        <v>58</v>
      </c>
      <c r="G1" s="5" t="s">
        <v>59</v>
      </c>
    </row>
    <row r="2" spans="1:7" x14ac:dyDescent="0.25">
      <c r="A2" s="1" t="s">
        <v>5</v>
      </c>
      <c r="B2" s="1" t="s">
        <v>6</v>
      </c>
      <c r="C2" s="1">
        <v>22000</v>
      </c>
      <c r="D2" s="3">
        <v>0.75</v>
      </c>
      <c r="E2" s="1">
        <v>2</v>
      </c>
      <c r="F2" s="1" t="str">
        <f>IF(Table1[[#This Row],[Rating]]&gt;=4,"HIGH",IF(Table1[[#This Row],[Rating]]=3,"MEDIUM",IF(Table1[[#This Row],[Rating]]&lt;=2,"LOW")))</f>
        <v>LOW</v>
      </c>
      <c r="G2" s="1">
        <f>IF(Table1[[#This Row],[Performance]]="HIGH",5000,IF(Table1[[#This Row],[Performance]]="MEDIUM",3000,IF(Table1[[#This Row],[Performance]]="LOW",2000)))</f>
        <v>2000</v>
      </c>
    </row>
    <row r="3" spans="1:7" x14ac:dyDescent="0.25">
      <c r="A3" s="1" t="s">
        <v>7</v>
      </c>
      <c r="B3" s="1" t="s">
        <v>8</v>
      </c>
      <c r="C3" s="1">
        <v>35000</v>
      </c>
      <c r="D3" s="3">
        <v>0.92</v>
      </c>
      <c r="E3" s="1">
        <v>5</v>
      </c>
      <c r="F3" s="1" t="str">
        <f>IF(Table1[[#This Row],[Rating]]&gt;=4,"HIGH",IF(Table1[[#This Row],[Rating]]=3,"MEDIUM",IF(Table1[[#This Row],[Rating]]&lt;=2,"LOW")))</f>
        <v>HIGH</v>
      </c>
      <c r="G3" s="1">
        <f>IF(Table1[[#This Row],[Performance]]="HIGH",5000,IF(Table1[[#This Row],[Performance]]="MEDIUM",3000,IF(Table1[[#This Row],[Performance]]="LOW",2000)))</f>
        <v>5000</v>
      </c>
    </row>
    <row r="4" spans="1:7" x14ac:dyDescent="0.25">
      <c r="A4" s="1" t="s">
        <v>9</v>
      </c>
      <c r="B4" s="1" t="s">
        <v>10</v>
      </c>
      <c r="C4" s="1">
        <v>27000</v>
      </c>
      <c r="D4" s="3">
        <v>0.85</v>
      </c>
      <c r="E4" s="1">
        <v>3</v>
      </c>
      <c r="F4" s="1" t="str">
        <f>IF(Table1[[#This Row],[Rating]]&gt;=4,"HIGH",IF(Table1[[#This Row],[Rating]]=3,"MEDIUM",IF(Table1[[#This Row],[Rating]]&lt;=2,"LOW")))</f>
        <v>MEDIUM</v>
      </c>
      <c r="G4" s="1">
        <f>IF(Table1[[#This Row],[Performance]]="HIGH",5000,IF(Table1[[#This Row],[Performance]]="MEDIUM",3000,IF(Table1[[#This Row],[Performance]]="LOW",2000)))</f>
        <v>3000</v>
      </c>
    </row>
    <row r="5" spans="1:7" x14ac:dyDescent="0.25">
      <c r="A5" s="1" t="s">
        <v>11</v>
      </c>
      <c r="B5" s="1" t="s">
        <v>8</v>
      </c>
      <c r="C5" s="1">
        <v>30000</v>
      </c>
      <c r="D5" s="3">
        <v>0.88</v>
      </c>
      <c r="E5" s="1">
        <v>4</v>
      </c>
      <c r="F5" s="1" t="str">
        <f>IF(Table1[[#This Row],[Rating]]&gt;=4,"HIGH",IF(Table1[[#This Row],[Rating]]=3,"MEDIUM",IF(Table1[[#This Row],[Rating]]&lt;=2,"LOW")))</f>
        <v>HIGH</v>
      </c>
      <c r="G5" s="1">
        <f>IF(Table1[[#This Row],[Performance]]="HIGH",5000,IF(Table1[[#This Row],[Performance]]="MEDIUM",3000,IF(Table1[[#This Row],[Performance]]="LOW",2000)))</f>
        <v>5000</v>
      </c>
    </row>
    <row r="6" spans="1:7" x14ac:dyDescent="0.25">
      <c r="A6" s="1" t="s">
        <v>12</v>
      </c>
      <c r="B6" s="1" t="s">
        <v>6</v>
      </c>
      <c r="C6" s="1">
        <v>25000</v>
      </c>
      <c r="D6" s="3">
        <v>0.8</v>
      </c>
      <c r="E6" s="1">
        <v>3</v>
      </c>
      <c r="F6" s="1" t="str">
        <f>IF(Table1[[#This Row],[Rating]]&gt;=4,"HIGH",IF(Table1[[#This Row],[Rating]]=3,"MEDIUM",IF(Table1[[#This Row],[Rating]]&lt;=2,"LOW")))</f>
        <v>MEDIUM</v>
      </c>
      <c r="G6" s="1">
        <f>IF(Table1[[#This Row],[Performance]]="HIGH",5000,IF(Table1[[#This Row],[Performance]]="MEDIUM",3000,IF(Table1[[#This Row],[Performance]]="LOW",2000)))</f>
        <v>3000</v>
      </c>
    </row>
    <row r="7" spans="1:7" x14ac:dyDescent="0.25">
      <c r="A7" s="1" t="s">
        <v>13</v>
      </c>
      <c r="B7" s="1" t="s">
        <v>10</v>
      </c>
      <c r="C7" s="1">
        <v>26000</v>
      </c>
      <c r="D7" s="3">
        <v>0.78</v>
      </c>
      <c r="E7" s="1">
        <v>3</v>
      </c>
      <c r="F7" s="1" t="str">
        <f>IF(Table1[[#This Row],[Rating]]&gt;=4,"HIGH",IF(Table1[[#This Row],[Rating]]=3,"MEDIUM",IF(Table1[[#This Row],[Rating]]&lt;=2,"LOW")))</f>
        <v>MEDIUM</v>
      </c>
      <c r="G7" s="1">
        <f>IF(Table1[[#This Row],[Performance]]="HIGH",5000,IF(Table1[[#This Row],[Performance]]="MEDIUM",3000,IF(Table1[[#This Row],[Performance]]="LOW",2000)))</f>
        <v>3000</v>
      </c>
    </row>
    <row r="8" spans="1:7" x14ac:dyDescent="0.25">
      <c r="A8" s="1" t="s">
        <v>14</v>
      </c>
      <c r="B8" s="1" t="s">
        <v>8</v>
      </c>
      <c r="C8" s="1">
        <v>40000</v>
      </c>
      <c r="D8" s="3">
        <v>0.95</v>
      </c>
      <c r="E8" s="1">
        <v>5</v>
      </c>
      <c r="F8" s="1" t="str">
        <f>IF(Table1[[#This Row],[Rating]]&gt;=4,"HIGH",IF(Table1[[#This Row],[Rating]]=3,"MEDIUM",IF(Table1[[#This Row],[Rating]]&lt;=2,"LOW")))</f>
        <v>HIGH</v>
      </c>
      <c r="G8" s="1">
        <f>IF(Table1[[#This Row],[Performance]]="HIGH",5000,IF(Table1[[#This Row],[Performance]]="MEDIUM",3000,IF(Table1[[#This Row],[Performance]]="LOW",2000)))</f>
        <v>5000</v>
      </c>
    </row>
    <row r="9" spans="1:7" x14ac:dyDescent="0.25">
      <c r="A9" s="1" t="s">
        <v>15</v>
      </c>
      <c r="B9" s="1" t="s">
        <v>6</v>
      </c>
      <c r="C9" s="1">
        <v>23000</v>
      </c>
      <c r="D9" s="3">
        <v>0.7</v>
      </c>
      <c r="E9" s="1">
        <v>2</v>
      </c>
      <c r="F9" s="1" t="str">
        <f>IF(Table1[[#This Row],[Rating]]&gt;=4,"HIGH",IF(Table1[[#This Row],[Rating]]=3,"MEDIUM",IF(Table1[[#This Row],[Rating]]&lt;=2,"LOW")))</f>
        <v>LOW</v>
      </c>
      <c r="G9" s="1">
        <f>IF(Table1[[#This Row],[Performance]]="HIGH",5000,IF(Table1[[#This Row],[Performance]]="MEDIUM",3000,IF(Table1[[#This Row],[Performance]]="LOW",2000)))</f>
        <v>2000</v>
      </c>
    </row>
    <row r="10" spans="1:7" x14ac:dyDescent="0.25">
      <c r="A10" s="1" t="s">
        <v>16</v>
      </c>
      <c r="B10" s="1" t="s">
        <v>10</v>
      </c>
      <c r="C10" s="1">
        <v>28000</v>
      </c>
      <c r="D10" s="3">
        <v>0.82</v>
      </c>
      <c r="E10" s="1">
        <v>4</v>
      </c>
      <c r="F10" s="1" t="str">
        <f>IF(Table1[[#This Row],[Rating]]&gt;=4,"HIGH",IF(Table1[[#This Row],[Rating]]=3,"MEDIUM",IF(Table1[[#This Row],[Rating]]&lt;=2,"LOW")))</f>
        <v>HIGH</v>
      </c>
      <c r="G10" s="1">
        <f>IF(Table1[[#This Row],[Performance]]="HIGH",5000,IF(Table1[[#This Row],[Performance]]="MEDIUM",3000,IF(Table1[[#This Row],[Performance]]="LOW",2000)))</f>
        <v>5000</v>
      </c>
    </row>
    <row r="11" spans="1:7" x14ac:dyDescent="0.25">
      <c r="A11" s="1" t="s">
        <v>17</v>
      </c>
      <c r="B11" s="1" t="s">
        <v>8</v>
      </c>
      <c r="C11" s="1">
        <v>32000</v>
      </c>
      <c r="D11" s="3">
        <v>0.9</v>
      </c>
      <c r="E11" s="1">
        <v>5</v>
      </c>
      <c r="F11" s="1" t="str">
        <f>IF(Table1[[#This Row],[Rating]]&gt;=4,"HIGH",IF(Table1[[#This Row],[Rating]]=3,"MEDIUM",IF(Table1[[#This Row],[Rating]]&lt;=2,"LOW")))</f>
        <v>HIGH</v>
      </c>
      <c r="G11" s="1">
        <f>IF(Table1[[#This Row],[Performance]]="HIGH",5000,IF(Table1[[#This Row],[Performance]]="MEDIUM",3000,IF(Table1[[#This Row],[Performance]]="LOW",2000)))</f>
        <v>5000</v>
      </c>
    </row>
    <row r="12" spans="1:7" x14ac:dyDescent="0.25">
      <c r="A12" s="1" t="s">
        <v>18</v>
      </c>
      <c r="B12" s="1" t="s">
        <v>6</v>
      </c>
      <c r="C12" s="1">
        <v>24000</v>
      </c>
      <c r="D12" s="3">
        <v>0.76</v>
      </c>
      <c r="E12" s="1">
        <v>2</v>
      </c>
      <c r="F12" s="1" t="str">
        <f>IF(Table1[[#This Row],[Rating]]&gt;=4,"HIGH",IF(Table1[[#This Row],[Rating]]=3,"MEDIUM",IF(Table1[[#This Row],[Rating]]&lt;=2,"LOW")))</f>
        <v>LOW</v>
      </c>
      <c r="G12" s="1">
        <f>IF(Table1[[#This Row],[Performance]]="HIGH",5000,IF(Table1[[#This Row],[Performance]]="MEDIUM",3000,IF(Table1[[#This Row],[Performance]]="LOW",2000)))</f>
        <v>2000</v>
      </c>
    </row>
    <row r="13" spans="1:7" x14ac:dyDescent="0.25">
      <c r="A13" s="1" t="s">
        <v>19</v>
      </c>
      <c r="B13" s="1" t="s">
        <v>10</v>
      </c>
      <c r="C13" s="1">
        <v>27500</v>
      </c>
      <c r="D13" s="3">
        <v>0.84</v>
      </c>
      <c r="E13" s="1">
        <v>3</v>
      </c>
      <c r="F13" s="1" t="str">
        <f>IF(Table1[[#This Row],[Rating]]&gt;=4,"HIGH",IF(Table1[[#This Row],[Rating]]=3,"MEDIUM",IF(Table1[[#This Row],[Rating]]&lt;=2,"LOW")))</f>
        <v>MEDIUM</v>
      </c>
      <c r="G13" s="1">
        <f>IF(Table1[[#This Row],[Performance]]="HIGH",5000,IF(Table1[[#This Row],[Performance]]="MEDIUM",3000,IF(Table1[[#This Row],[Performance]]="LOW",2000)))</f>
        <v>3000</v>
      </c>
    </row>
    <row r="14" spans="1:7" x14ac:dyDescent="0.25">
      <c r="A14" s="1" t="s">
        <v>20</v>
      </c>
      <c r="B14" s="1" t="s">
        <v>8</v>
      </c>
      <c r="C14" s="1">
        <v>36000</v>
      </c>
      <c r="D14" s="3">
        <v>0.93</v>
      </c>
      <c r="E14" s="1">
        <v>5</v>
      </c>
      <c r="F14" s="1" t="str">
        <f>IF(Table1[[#This Row],[Rating]]&gt;=4,"HIGH",IF(Table1[[#This Row],[Rating]]=3,"MEDIUM",IF(Table1[[#This Row],[Rating]]&lt;=2,"LOW")))</f>
        <v>HIGH</v>
      </c>
      <c r="G14" s="1">
        <f>IF(Table1[[#This Row],[Performance]]="HIGH",5000,IF(Table1[[#This Row],[Performance]]="MEDIUM",3000,IF(Table1[[#This Row],[Performance]]="LOW",2000)))</f>
        <v>5000</v>
      </c>
    </row>
    <row r="15" spans="1:7" x14ac:dyDescent="0.25">
      <c r="A15" s="1" t="s">
        <v>21</v>
      </c>
      <c r="B15" s="1" t="s">
        <v>6</v>
      </c>
      <c r="C15" s="1">
        <v>21000</v>
      </c>
      <c r="D15" s="3">
        <v>0.68</v>
      </c>
      <c r="E15" s="1">
        <v>1</v>
      </c>
      <c r="F15" s="1" t="str">
        <f>IF(Table1[[#This Row],[Rating]]&gt;=4,"HIGH",IF(Table1[[#This Row],[Rating]]=3,"MEDIUM",IF(Table1[[#This Row],[Rating]]&lt;=2,"LOW")))</f>
        <v>LOW</v>
      </c>
      <c r="G15" s="1">
        <f>IF(Table1[[#This Row],[Performance]]="HIGH",5000,IF(Table1[[#This Row],[Performance]]="MEDIUM",3000,IF(Table1[[#This Row],[Performance]]="LOW",2000)))</f>
        <v>2000</v>
      </c>
    </row>
    <row r="16" spans="1:7" x14ac:dyDescent="0.25">
      <c r="A16" s="1" t="s">
        <v>22</v>
      </c>
      <c r="B16" s="1" t="s">
        <v>10</v>
      </c>
      <c r="C16" s="1">
        <v>29000</v>
      </c>
      <c r="D16" s="3">
        <v>0.86</v>
      </c>
      <c r="E16" s="1">
        <v>4</v>
      </c>
      <c r="F16" s="1" t="str">
        <f>IF(Table1[[#This Row],[Rating]]&gt;=4,"HIGH",IF(Table1[[#This Row],[Rating]]=3,"MEDIUM",IF(Table1[[#This Row],[Rating]]&lt;=2,"LOW")))</f>
        <v>HIGH</v>
      </c>
      <c r="G16" s="1">
        <f>IF(Table1[[#This Row],[Performance]]="HIGH",5000,IF(Table1[[#This Row],[Performance]]="MEDIUM",3000,IF(Table1[[#This Row],[Performance]]="LOW",2000)))</f>
        <v>5000</v>
      </c>
    </row>
    <row r="17" spans="1:7" x14ac:dyDescent="0.25">
      <c r="A17" s="1" t="s">
        <v>23</v>
      </c>
      <c r="B17" s="1" t="s">
        <v>8</v>
      </c>
      <c r="C17" s="1">
        <v>34000</v>
      </c>
      <c r="D17" s="3">
        <v>0.91</v>
      </c>
      <c r="E17" s="1">
        <v>5</v>
      </c>
      <c r="F17" s="1" t="str">
        <f>IF(Table1[[#This Row],[Rating]]&gt;=4,"HIGH",IF(Table1[[#This Row],[Rating]]=3,"MEDIUM",IF(Table1[[#This Row],[Rating]]&lt;=2,"LOW")))</f>
        <v>HIGH</v>
      </c>
      <c r="G17" s="1">
        <f>IF(Table1[[#This Row],[Performance]]="HIGH",5000,IF(Table1[[#This Row],[Performance]]="MEDIUM",3000,IF(Table1[[#This Row],[Performance]]="LOW",2000)))</f>
        <v>5000</v>
      </c>
    </row>
    <row r="18" spans="1:7" x14ac:dyDescent="0.25">
      <c r="A18" s="1" t="s">
        <v>24</v>
      </c>
      <c r="B18" s="1" t="s">
        <v>6</v>
      </c>
      <c r="C18" s="1">
        <v>26000</v>
      </c>
      <c r="D18" s="3">
        <v>0.82</v>
      </c>
      <c r="E18" s="1">
        <v>3</v>
      </c>
      <c r="F18" s="1" t="str">
        <f>IF(Table1[[#This Row],[Rating]]&gt;=4,"HIGH",IF(Table1[[#This Row],[Rating]]=3,"MEDIUM",IF(Table1[[#This Row],[Rating]]&lt;=2,"LOW")))</f>
        <v>MEDIUM</v>
      </c>
      <c r="G18" s="1">
        <f>IF(Table1[[#This Row],[Performance]]="HIGH",5000,IF(Table1[[#This Row],[Performance]]="MEDIUM",3000,IF(Table1[[#This Row],[Performance]]="LOW",2000)))</f>
        <v>3000</v>
      </c>
    </row>
    <row r="19" spans="1:7" x14ac:dyDescent="0.25">
      <c r="A19" s="1" t="s">
        <v>25</v>
      </c>
      <c r="B19" s="1" t="s">
        <v>10</v>
      </c>
      <c r="C19" s="1">
        <v>25500</v>
      </c>
      <c r="D19" s="3">
        <v>0.79</v>
      </c>
      <c r="E19" s="1">
        <v>3</v>
      </c>
      <c r="F19" s="1" t="str">
        <f>IF(Table1[[#This Row],[Rating]]&gt;=4,"HIGH",IF(Table1[[#This Row],[Rating]]=3,"MEDIUM",IF(Table1[[#This Row],[Rating]]&lt;=2,"LOW")))</f>
        <v>MEDIUM</v>
      </c>
      <c r="G19" s="1">
        <f>IF(Table1[[#This Row],[Performance]]="HIGH",5000,IF(Table1[[#This Row],[Performance]]="MEDIUM",3000,IF(Table1[[#This Row],[Performance]]="LOW",2000)))</f>
        <v>3000</v>
      </c>
    </row>
    <row r="20" spans="1:7" x14ac:dyDescent="0.25">
      <c r="A20" s="1" t="s">
        <v>26</v>
      </c>
      <c r="B20" s="1" t="s">
        <v>8</v>
      </c>
      <c r="C20" s="1">
        <v>37000</v>
      </c>
      <c r="D20" s="3">
        <v>0.94</v>
      </c>
      <c r="E20" s="1">
        <v>5</v>
      </c>
      <c r="F20" s="1" t="str">
        <f>IF(Table1[[#This Row],[Rating]]&gt;=4,"HIGH",IF(Table1[[#This Row],[Rating]]=3,"MEDIUM",IF(Table1[[#This Row],[Rating]]&lt;=2,"LOW")))</f>
        <v>HIGH</v>
      </c>
      <c r="G20" s="1">
        <f>IF(Table1[[#This Row],[Performance]]="HIGH",5000,IF(Table1[[#This Row],[Performance]]="MEDIUM",3000,IF(Table1[[#This Row],[Performance]]="LOW",2000)))</f>
        <v>5000</v>
      </c>
    </row>
    <row r="21" spans="1:7" x14ac:dyDescent="0.25">
      <c r="A21" s="1" t="s">
        <v>27</v>
      </c>
      <c r="B21" s="1" t="s">
        <v>6</v>
      </c>
      <c r="C21" s="1">
        <v>22500</v>
      </c>
      <c r="D21" s="3">
        <v>0.72</v>
      </c>
      <c r="E21" s="1">
        <v>2</v>
      </c>
      <c r="F21" s="1" t="str">
        <f>IF(Table1[[#This Row],[Rating]]&gt;=4,"HIGH",IF(Table1[[#This Row],[Rating]]=3,"MEDIUM",IF(Table1[[#This Row],[Rating]]&lt;=2,"LOW")))</f>
        <v>LOW</v>
      </c>
      <c r="G21" s="1">
        <f>IF(Table1[[#This Row],[Performance]]="HIGH",5000,IF(Table1[[#This Row],[Performance]]="MEDIUM",3000,IF(Table1[[#This Row],[Performance]]="LOW",2000)))</f>
        <v>2000</v>
      </c>
    </row>
    <row r="22" spans="1:7" x14ac:dyDescent="0.25">
      <c r="A22" s="1" t="s">
        <v>28</v>
      </c>
      <c r="B22" s="1" t="s">
        <v>10</v>
      </c>
      <c r="C22" s="1">
        <v>26500</v>
      </c>
      <c r="D22" s="3">
        <v>0.81</v>
      </c>
      <c r="E22" s="1">
        <v>3</v>
      </c>
      <c r="F22" s="1" t="str">
        <f>IF(Table1[[#This Row],[Rating]]&gt;=4,"HIGH",IF(Table1[[#This Row],[Rating]]=3,"MEDIUM",IF(Table1[[#This Row],[Rating]]&lt;=2,"LOW")))</f>
        <v>MEDIUM</v>
      </c>
      <c r="G22" s="1">
        <f>IF(Table1[[#This Row],[Performance]]="HIGH",5000,IF(Table1[[#This Row],[Performance]]="MEDIUM",3000,IF(Table1[[#This Row],[Performance]]="LOW",2000)))</f>
        <v>3000</v>
      </c>
    </row>
    <row r="23" spans="1:7" x14ac:dyDescent="0.25">
      <c r="A23" s="1" t="s">
        <v>29</v>
      </c>
      <c r="B23" s="1" t="s">
        <v>8</v>
      </c>
      <c r="C23" s="1">
        <v>33000</v>
      </c>
      <c r="D23" s="3">
        <v>0.89</v>
      </c>
      <c r="E23" s="1">
        <v>4</v>
      </c>
      <c r="F23" s="1" t="str">
        <f>IF(Table1[[#This Row],[Rating]]&gt;=4,"HIGH",IF(Table1[[#This Row],[Rating]]=3,"MEDIUM",IF(Table1[[#This Row],[Rating]]&lt;=2,"LOW")))</f>
        <v>HIGH</v>
      </c>
      <c r="G23" s="1">
        <f>IF(Table1[[#This Row],[Performance]]="HIGH",5000,IF(Table1[[#This Row],[Performance]]="MEDIUM",3000,IF(Table1[[#This Row],[Performance]]="LOW",2000)))</f>
        <v>5000</v>
      </c>
    </row>
    <row r="24" spans="1:7" x14ac:dyDescent="0.25">
      <c r="A24" s="1" t="s">
        <v>30</v>
      </c>
      <c r="B24" s="1" t="s">
        <v>6</v>
      </c>
      <c r="C24" s="1">
        <v>24500</v>
      </c>
      <c r="D24" s="3">
        <v>0.77</v>
      </c>
      <c r="E24" s="1">
        <v>2</v>
      </c>
      <c r="F24" s="1" t="str">
        <f>IF(Table1[[#This Row],[Rating]]&gt;=4,"HIGH",IF(Table1[[#This Row],[Rating]]=3,"MEDIUM",IF(Table1[[#This Row],[Rating]]&lt;=2,"LOW")))</f>
        <v>LOW</v>
      </c>
      <c r="G24" s="1">
        <f>IF(Table1[[#This Row],[Performance]]="HIGH",5000,IF(Table1[[#This Row],[Performance]]="MEDIUM",3000,IF(Table1[[#This Row],[Performance]]="LOW",2000)))</f>
        <v>2000</v>
      </c>
    </row>
    <row r="25" spans="1:7" x14ac:dyDescent="0.25">
      <c r="A25" s="1" t="s">
        <v>31</v>
      </c>
      <c r="B25" s="1" t="s">
        <v>10</v>
      </c>
      <c r="C25" s="1">
        <v>28500</v>
      </c>
      <c r="D25" s="3">
        <v>0.85</v>
      </c>
      <c r="E25" s="1">
        <v>4</v>
      </c>
      <c r="F25" s="1" t="str">
        <f>IF(Table1[[#This Row],[Rating]]&gt;=4,"HIGH",IF(Table1[[#This Row],[Rating]]=3,"MEDIUM",IF(Table1[[#This Row],[Rating]]&lt;=2,"LOW")))</f>
        <v>HIGH</v>
      </c>
      <c r="G25" s="1">
        <f>IF(Table1[[#This Row],[Performance]]="HIGH",5000,IF(Table1[[#This Row],[Performance]]="MEDIUM",3000,IF(Table1[[#This Row],[Performance]]="LOW",2000)))</f>
        <v>5000</v>
      </c>
    </row>
    <row r="26" spans="1:7" x14ac:dyDescent="0.25">
      <c r="A26" s="1" t="s">
        <v>32</v>
      </c>
      <c r="B26" s="1" t="s">
        <v>8</v>
      </c>
      <c r="C26" s="1">
        <v>38000</v>
      </c>
      <c r="D26" s="3">
        <v>0.96</v>
      </c>
      <c r="E26" s="1">
        <v>5</v>
      </c>
      <c r="F26" s="1" t="str">
        <f>IF(Table1[[#This Row],[Rating]]&gt;=4,"HIGH",IF(Table1[[#This Row],[Rating]]=3,"MEDIUM",IF(Table1[[#This Row],[Rating]]&lt;=2,"LOW")))</f>
        <v>HIGH</v>
      </c>
      <c r="G26" s="1">
        <f>IF(Table1[[#This Row],[Performance]]="HIGH",5000,IF(Table1[[#This Row],[Performance]]="MEDIUM",3000,IF(Table1[[#This Row],[Performance]]="LOW",2000)))</f>
        <v>5000</v>
      </c>
    </row>
    <row r="27" spans="1:7" x14ac:dyDescent="0.25">
      <c r="A27" s="1" t="s">
        <v>33</v>
      </c>
      <c r="B27" s="1" t="s">
        <v>6</v>
      </c>
      <c r="C27" s="1">
        <v>23500</v>
      </c>
      <c r="D27" s="3">
        <v>0.74</v>
      </c>
      <c r="E27" s="1">
        <v>2</v>
      </c>
      <c r="F27" s="1" t="str">
        <f>IF(Table1[[#This Row],[Rating]]&gt;=4,"HIGH",IF(Table1[[#This Row],[Rating]]=3,"MEDIUM",IF(Table1[[#This Row],[Rating]]&lt;=2,"LOW")))</f>
        <v>LOW</v>
      </c>
      <c r="G27" s="1">
        <f>IF(Table1[[#This Row],[Performance]]="HIGH",5000,IF(Table1[[#This Row],[Performance]]="MEDIUM",3000,IF(Table1[[#This Row],[Performance]]="LOW",2000)))</f>
        <v>2000</v>
      </c>
    </row>
    <row r="28" spans="1:7" x14ac:dyDescent="0.25">
      <c r="A28" s="1" t="s">
        <v>34</v>
      </c>
      <c r="B28" s="1" t="s">
        <v>10</v>
      </c>
      <c r="C28" s="1">
        <v>27500</v>
      </c>
      <c r="D28" s="3">
        <v>0.83</v>
      </c>
      <c r="E28" s="1">
        <v>3</v>
      </c>
      <c r="F28" s="1" t="str">
        <f>IF(Table1[[#This Row],[Rating]]&gt;=4,"HIGH",IF(Table1[[#This Row],[Rating]]=3,"MEDIUM",IF(Table1[[#This Row],[Rating]]&lt;=2,"LOW")))</f>
        <v>MEDIUM</v>
      </c>
      <c r="G28" s="1">
        <f>IF(Table1[[#This Row],[Performance]]="HIGH",5000,IF(Table1[[#This Row],[Performance]]="MEDIUM",3000,IF(Table1[[#This Row],[Performance]]="LOW",2000)))</f>
        <v>3000</v>
      </c>
    </row>
    <row r="29" spans="1:7" x14ac:dyDescent="0.25">
      <c r="A29" s="1" t="s">
        <v>35</v>
      </c>
      <c r="B29" s="1" t="s">
        <v>8</v>
      </c>
      <c r="C29" s="1">
        <v>31000</v>
      </c>
      <c r="D29" s="3">
        <v>0.87</v>
      </c>
      <c r="E29" s="1">
        <v>4</v>
      </c>
      <c r="F29" s="1" t="str">
        <f>IF(Table1[[#This Row],[Rating]]&gt;=4,"HIGH",IF(Table1[[#This Row],[Rating]]=3,"MEDIUM",IF(Table1[[#This Row],[Rating]]&lt;=2,"LOW")))</f>
        <v>HIGH</v>
      </c>
      <c r="G29" s="1">
        <f>IF(Table1[[#This Row],[Performance]]="HIGH",5000,IF(Table1[[#This Row],[Performance]]="MEDIUM",3000,IF(Table1[[#This Row],[Performance]]="LOW",2000)))</f>
        <v>5000</v>
      </c>
    </row>
    <row r="30" spans="1:7" x14ac:dyDescent="0.25">
      <c r="A30" s="1" t="s">
        <v>36</v>
      </c>
      <c r="B30" s="1" t="s">
        <v>6</v>
      </c>
      <c r="C30" s="1">
        <v>25500</v>
      </c>
      <c r="D30" s="3">
        <v>0.81</v>
      </c>
      <c r="E30" s="1">
        <v>3</v>
      </c>
      <c r="F30" s="1" t="str">
        <f>IF(Table1[[#This Row],[Rating]]&gt;=4,"HIGH",IF(Table1[[#This Row],[Rating]]=3,"MEDIUM",IF(Table1[[#This Row],[Rating]]&lt;=2,"LOW")))</f>
        <v>MEDIUM</v>
      </c>
      <c r="G30" s="1">
        <f>IF(Table1[[#This Row],[Performance]]="HIGH",5000,IF(Table1[[#This Row],[Performance]]="MEDIUM",3000,IF(Table1[[#This Row],[Performance]]="LOW",2000)))</f>
        <v>3000</v>
      </c>
    </row>
    <row r="31" spans="1:7" x14ac:dyDescent="0.25">
      <c r="A31" s="1" t="s">
        <v>37</v>
      </c>
      <c r="B31" s="1" t="s">
        <v>10</v>
      </c>
      <c r="C31" s="1">
        <v>29500</v>
      </c>
      <c r="D31" s="3">
        <v>0.88</v>
      </c>
      <c r="E31" s="1">
        <v>4</v>
      </c>
      <c r="F31" s="1" t="str">
        <f>IF(Table1[[#This Row],[Rating]]&gt;=4,"HIGH",IF(Table1[[#This Row],[Rating]]=3,"MEDIUM",IF(Table1[[#This Row],[Rating]]&lt;=2,"LOW")))</f>
        <v>HIGH</v>
      </c>
      <c r="G31" s="1">
        <f>IF(Table1[[#This Row],[Performance]]="HIGH",5000,IF(Table1[[#This Row],[Performance]]="MEDIUM",3000,IF(Table1[[#This Row],[Performance]]="LOW",2000)))</f>
        <v>5000</v>
      </c>
    </row>
    <row r="32" spans="1:7" x14ac:dyDescent="0.25">
      <c r="A32" s="1" t="s">
        <v>38</v>
      </c>
      <c r="B32" s="1" t="s">
        <v>8</v>
      </c>
      <c r="C32" s="1">
        <v>34500</v>
      </c>
      <c r="D32" s="3">
        <v>0.92</v>
      </c>
      <c r="E32" s="1">
        <v>5</v>
      </c>
      <c r="F32" s="1" t="str">
        <f>IF(Table1[[#This Row],[Rating]]&gt;=4,"HIGH",IF(Table1[[#This Row],[Rating]]=3,"MEDIUM",IF(Table1[[#This Row],[Rating]]&lt;=2,"LOW")))</f>
        <v>HIGH</v>
      </c>
      <c r="G32" s="1">
        <f>IF(Table1[[#This Row],[Performance]]="HIGH",5000,IF(Table1[[#This Row],[Performance]]="MEDIUM",3000,IF(Table1[[#This Row],[Performance]]="LOW",2000)))</f>
        <v>5000</v>
      </c>
    </row>
    <row r="33" spans="1:7" x14ac:dyDescent="0.25">
      <c r="A33" s="1" t="s">
        <v>39</v>
      </c>
      <c r="B33" s="1" t="s">
        <v>6</v>
      </c>
      <c r="C33" s="1">
        <v>22000</v>
      </c>
      <c r="D33" s="3">
        <v>0.69</v>
      </c>
      <c r="E33" s="1">
        <v>1</v>
      </c>
      <c r="F33" s="1" t="str">
        <f>IF(Table1[[#This Row],[Rating]]&gt;=4,"HIGH",IF(Table1[[#This Row],[Rating]]=3,"MEDIUM",IF(Table1[[#This Row],[Rating]]&lt;=2,"LOW")))</f>
        <v>LOW</v>
      </c>
      <c r="G33" s="1">
        <f>IF(Table1[[#This Row],[Performance]]="HIGH",5000,IF(Table1[[#This Row],[Performance]]="MEDIUM",3000,IF(Table1[[#This Row],[Performance]]="LOW",2000)))</f>
        <v>2000</v>
      </c>
    </row>
    <row r="34" spans="1:7" x14ac:dyDescent="0.25">
      <c r="A34" s="1" t="s">
        <v>40</v>
      </c>
      <c r="B34" s="1" t="s">
        <v>10</v>
      </c>
      <c r="C34" s="1">
        <v>27000</v>
      </c>
      <c r="D34" s="3">
        <v>0.84</v>
      </c>
      <c r="E34" s="1">
        <v>3</v>
      </c>
      <c r="F34" s="1" t="str">
        <f>IF(Table1[[#This Row],[Rating]]&gt;=4,"HIGH",IF(Table1[[#This Row],[Rating]]=3,"MEDIUM",IF(Table1[[#This Row],[Rating]]&lt;=2,"LOW")))</f>
        <v>MEDIUM</v>
      </c>
      <c r="G34" s="1">
        <f>IF(Table1[[#This Row],[Performance]]="HIGH",5000,IF(Table1[[#This Row],[Performance]]="MEDIUM",3000,IF(Table1[[#This Row],[Performance]]="LOW",2000)))</f>
        <v>3000</v>
      </c>
    </row>
    <row r="35" spans="1:7" x14ac:dyDescent="0.25">
      <c r="A35" s="1" t="s">
        <v>41</v>
      </c>
      <c r="B35" s="1" t="s">
        <v>8</v>
      </c>
      <c r="C35" s="1">
        <v>35500</v>
      </c>
      <c r="D35" s="3">
        <v>0.93</v>
      </c>
      <c r="E35" s="1">
        <v>5</v>
      </c>
      <c r="F35" s="1" t="str">
        <f>IF(Table1[[#This Row],[Rating]]&gt;=4,"HIGH",IF(Table1[[#This Row],[Rating]]=3,"MEDIUM",IF(Table1[[#This Row],[Rating]]&lt;=2,"LOW")))</f>
        <v>HIGH</v>
      </c>
      <c r="G35" s="1">
        <f>IF(Table1[[#This Row],[Performance]]="HIGH",5000,IF(Table1[[#This Row],[Performance]]="MEDIUM",3000,IF(Table1[[#This Row],[Performance]]="LOW",2000)))</f>
        <v>5000</v>
      </c>
    </row>
    <row r="36" spans="1:7" x14ac:dyDescent="0.25">
      <c r="A36" s="1" t="s">
        <v>42</v>
      </c>
      <c r="B36" s="1" t="s">
        <v>6</v>
      </c>
      <c r="C36" s="1">
        <v>24000</v>
      </c>
      <c r="D36" s="3">
        <v>0.76</v>
      </c>
      <c r="E36" s="1">
        <v>2</v>
      </c>
      <c r="F36" s="1" t="str">
        <f>IF(Table1[[#This Row],[Rating]]&gt;=4,"HIGH",IF(Table1[[#This Row],[Rating]]=3,"MEDIUM",IF(Table1[[#This Row],[Rating]]&lt;=2,"LOW")))</f>
        <v>LOW</v>
      </c>
      <c r="G36" s="1">
        <f>IF(Table1[[#This Row],[Performance]]="HIGH",5000,IF(Table1[[#This Row],[Performance]]="MEDIUM",3000,IF(Table1[[#This Row],[Performance]]="LOW",2000)))</f>
        <v>2000</v>
      </c>
    </row>
    <row r="37" spans="1:7" x14ac:dyDescent="0.25">
      <c r="A37" s="1" t="s">
        <v>43</v>
      </c>
      <c r="B37" s="1" t="s">
        <v>10</v>
      </c>
      <c r="C37" s="1">
        <v>26000</v>
      </c>
      <c r="D37" s="3">
        <v>0.8</v>
      </c>
      <c r="E37" s="1">
        <v>3</v>
      </c>
      <c r="F37" s="1" t="str">
        <f>IF(Table1[[#This Row],[Rating]]&gt;=4,"HIGH",IF(Table1[[#This Row],[Rating]]=3,"MEDIUM",IF(Table1[[#This Row],[Rating]]&lt;=2,"LOW")))</f>
        <v>MEDIUM</v>
      </c>
      <c r="G37" s="1">
        <f>IF(Table1[[#This Row],[Performance]]="HIGH",5000,IF(Table1[[#This Row],[Performance]]="MEDIUM",3000,IF(Table1[[#This Row],[Performance]]="LOW",2000)))</f>
        <v>3000</v>
      </c>
    </row>
    <row r="38" spans="1:7" x14ac:dyDescent="0.25">
      <c r="A38" s="1" t="s">
        <v>44</v>
      </c>
      <c r="B38" s="1" t="s">
        <v>8</v>
      </c>
      <c r="C38" s="1">
        <v>36500</v>
      </c>
      <c r="D38" s="3">
        <v>0.94</v>
      </c>
      <c r="E38" s="1">
        <v>5</v>
      </c>
      <c r="F38" s="1" t="str">
        <f>IF(Table1[[#This Row],[Rating]]&gt;=4,"HIGH",IF(Table1[[#This Row],[Rating]]=3,"MEDIUM",IF(Table1[[#This Row],[Rating]]&lt;=2,"LOW")))</f>
        <v>HIGH</v>
      </c>
      <c r="G38" s="1">
        <f>IF(Table1[[#This Row],[Performance]]="HIGH",5000,IF(Table1[[#This Row],[Performance]]="MEDIUM",3000,IF(Table1[[#This Row],[Performance]]="LOW",2000)))</f>
        <v>5000</v>
      </c>
    </row>
    <row r="39" spans="1:7" x14ac:dyDescent="0.25">
      <c r="A39" s="1" t="s">
        <v>45</v>
      </c>
      <c r="B39" s="1" t="s">
        <v>6</v>
      </c>
      <c r="C39" s="1">
        <v>23000</v>
      </c>
      <c r="D39" s="3">
        <v>0.73</v>
      </c>
      <c r="E39" s="1">
        <v>2</v>
      </c>
      <c r="F39" s="1" t="str">
        <f>IF(Table1[[#This Row],[Rating]]&gt;=4,"HIGH",IF(Table1[[#This Row],[Rating]]=3,"MEDIUM",IF(Table1[[#This Row],[Rating]]&lt;=2,"LOW")))</f>
        <v>LOW</v>
      </c>
      <c r="G39" s="1">
        <f>IF(Table1[[#This Row],[Performance]]="HIGH",5000,IF(Table1[[#This Row],[Performance]]="MEDIUM",3000,IF(Table1[[#This Row],[Performance]]="LOW",2000)))</f>
        <v>2000</v>
      </c>
    </row>
    <row r="40" spans="1:7" x14ac:dyDescent="0.25">
      <c r="A40" s="1" t="s">
        <v>46</v>
      </c>
      <c r="B40" s="1" t="s">
        <v>10</v>
      </c>
      <c r="C40" s="1">
        <v>28000</v>
      </c>
      <c r="D40" s="3">
        <v>0.85</v>
      </c>
      <c r="E40" s="1">
        <v>4</v>
      </c>
      <c r="F40" s="1" t="str">
        <f>IF(Table1[[#This Row],[Rating]]&gt;=4,"HIGH",IF(Table1[[#This Row],[Rating]]=3,"MEDIUM",IF(Table1[[#This Row],[Rating]]&lt;=2,"LOW")))</f>
        <v>HIGH</v>
      </c>
      <c r="G40" s="1">
        <f>IF(Table1[[#This Row],[Performance]]="HIGH",5000,IF(Table1[[#This Row],[Performance]]="MEDIUM",3000,IF(Table1[[#This Row],[Performance]]="LOW",2000)))</f>
        <v>5000</v>
      </c>
    </row>
    <row r="41" spans="1:7" x14ac:dyDescent="0.25">
      <c r="A41" s="1" t="s">
        <v>47</v>
      </c>
      <c r="B41" s="1" t="s">
        <v>8</v>
      </c>
      <c r="C41" s="1">
        <v>39000</v>
      </c>
      <c r="D41" s="3">
        <v>0.97</v>
      </c>
      <c r="E41" s="1">
        <v>5</v>
      </c>
      <c r="F41" s="1" t="str">
        <f>IF(Table1[[#This Row],[Rating]]&gt;=4,"HIGH",IF(Table1[[#This Row],[Rating]]=3,"MEDIUM",IF(Table1[[#This Row],[Rating]]&lt;=2,"LOW")))</f>
        <v>HIGH</v>
      </c>
      <c r="G41" s="1">
        <f>IF(Table1[[#This Row],[Performance]]="HIGH",5000,IF(Table1[[#This Row],[Performance]]="MEDIUM",3000,IF(Table1[[#This Row],[Performance]]="LOW",2000)))</f>
        <v>5000</v>
      </c>
    </row>
    <row r="42" spans="1:7" x14ac:dyDescent="0.25">
      <c r="A42" s="1" t="s">
        <v>48</v>
      </c>
      <c r="B42" s="1" t="s">
        <v>6</v>
      </c>
      <c r="C42" s="1">
        <v>25000</v>
      </c>
      <c r="D42" s="3">
        <v>0.82</v>
      </c>
      <c r="E42" s="1">
        <v>3</v>
      </c>
      <c r="F42" s="1" t="str">
        <f>IF(Table1[[#This Row],[Rating]]&gt;=4,"HIGH",IF(Table1[[#This Row],[Rating]]=3,"MEDIUM",IF(Table1[[#This Row],[Rating]]&lt;=2,"LOW")))</f>
        <v>MEDIUM</v>
      </c>
      <c r="G42" s="1">
        <f>IF(Table1[[#This Row],[Performance]]="HIGH",5000,IF(Table1[[#This Row],[Performance]]="MEDIUM",3000,IF(Table1[[#This Row],[Performance]]="LOW",2000)))</f>
        <v>3000</v>
      </c>
    </row>
    <row r="43" spans="1:7" x14ac:dyDescent="0.25">
      <c r="A43" s="1" t="s">
        <v>49</v>
      </c>
      <c r="B43" s="1" t="s">
        <v>10</v>
      </c>
      <c r="C43" s="1">
        <v>27500</v>
      </c>
      <c r="D43" s="3">
        <v>0.83</v>
      </c>
      <c r="E43" s="1">
        <v>3</v>
      </c>
      <c r="F43" s="1" t="str">
        <f>IF(Table1[[#This Row],[Rating]]&gt;=4,"HIGH",IF(Table1[[#This Row],[Rating]]=3,"MEDIUM",IF(Table1[[#This Row],[Rating]]&lt;=2,"LOW")))</f>
        <v>MEDIUM</v>
      </c>
      <c r="G43" s="1">
        <f>IF(Table1[[#This Row],[Performance]]="HIGH",5000,IF(Table1[[#This Row],[Performance]]="MEDIUM",3000,IF(Table1[[#This Row],[Performance]]="LOW",2000)))</f>
        <v>3000</v>
      </c>
    </row>
    <row r="44" spans="1:7" x14ac:dyDescent="0.25">
      <c r="A44" s="1" t="s">
        <v>50</v>
      </c>
      <c r="B44" s="1" t="s">
        <v>8</v>
      </c>
      <c r="C44" s="1">
        <v>33500</v>
      </c>
      <c r="D44" s="3">
        <v>0.9</v>
      </c>
      <c r="E44" s="1">
        <v>4</v>
      </c>
      <c r="F44" s="1" t="str">
        <f>IF(Table1[[#This Row],[Rating]]&gt;=4,"HIGH",IF(Table1[[#This Row],[Rating]]=3,"MEDIUM",IF(Table1[[#This Row],[Rating]]&lt;=2,"LOW")))</f>
        <v>HIGH</v>
      </c>
      <c r="G44" s="1">
        <f>IF(Table1[[#This Row],[Performance]]="HIGH",5000,IF(Table1[[#This Row],[Performance]]="MEDIUM",3000,IF(Table1[[#This Row],[Performance]]="LOW",2000)))</f>
        <v>5000</v>
      </c>
    </row>
    <row r="45" spans="1:7" x14ac:dyDescent="0.25">
      <c r="A45" s="1" t="s">
        <v>51</v>
      </c>
      <c r="B45" s="1" t="s">
        <v>6</v>
      </c>
      <c r="C45" s="1">
        <v>24500</v>
      </c>
      <c r="D45" s="3">
        <v>0.78</v>
      </c>
      <c r="E45" s="1">
        <v>2</v>
      </c>
      <c r="F45" s="1" t="str">
        <f>IF(Table1[[#This Row],[Rating]]&gt;=4,"HIGH",IF(Table1[[#This Row],[Rating]]=3,"MEDIUM",IF(Table1[[#This Row],[Rating]]&lt;=2,"LOW")))</f>
        <v>LOW</v>
      </c>
      <c r="G45" s="1">
        <f>IF(Table1[[#This Row],[Performance]]="HIGH",5000,IF(Table1[[#This Row],[Performance]]="MEDIUM",3000,IF(Table1[[#This Row],[Performance]]="LOW",2000)))</f>
        <v>2000</v>
      </c>
    </row>
    <row r="46" spans="1:7" x14ac:dyDescent="0.25">
      <c r="A46" s="1" t="s">
        <v>52</v>
      </c>
      <c r="B46" s="1" t="s">
        <v>10</v>
      </c>
      <c r="C46" s="1">
        <v>29000</v>
      </c>
      <c r="D46" s="3">
        <v>0.86</v>
      </c>
      <c r="E46" s="1">
        <v>4</v>
      </c>
      <c r="F46" s="1" t="str">
        <f>IF(Table1[[#This Row],[Rating]]&gt;=4,"HIGH",IF(Table1[[#This Row],[Rating]]=3,"MEDIUM",IF(Table1[[#This Row],[Rating]]&lt;=2,"LOW")))</f>
        <v>HIGH</v>
      </c>
      <c r="G46" s="1">
        <f>IF(Table1[[#This Row],[Performance]]="HIGH",5000,IF(Table1[[#This Row],[Performance]]="MEDIUM",3000,IF(Table1[[#This Row],[Performance]]="LOW",2000)))</f>
        <v>5000</v>
      </c>
    </row>
    <row r="47" spans="1:7" x14ac:dyDescent="0.25">
      <c r="A47" s="1" t="s">
        <v>53</v>
      </c>
      <c r="B47" s="1" t="s">
        <v>8</v>
      </c>
      <c r="C47" s="1">
        <v>36000</v>
      </c>
      <c r="D47" s="3">
        <v>0.92</v>
      </c>
      <c r="E47" s="1">
        <v>5</v>
      </c>
      <c r="F47" s="1" t="str">
        <f>IF(Table1[[#This Row],[Rating]]&gt;=4,"HIGH",IF(Table1[[#This Row],[Rating]]=3,"MEDIUM",IF(Table1[[#This Row],[Rating]]&lt;=2,"LOW")))</f>
        <v>HIGH</v>
      </c>
      <c r="G47" s="1">
        <f>IF(Table1[[#This Row],[Performance]]="HIGH",5000,IF(Table1[[#This Row],[Performance]]="MEDIUM",3000,IF(Table1[[#This Row],[Performance]]="LOW",2000)))</f>
        <v>5000</v>
      </c>
    </row>
    <row r="48" spans="1:7" x14ac:dyDescent="0.25">
      <c r="A48" s="1" t="s">
        <v>54</v>
      </c>
      <c r="B48" s="1" t="s">
        <v>6</v>
      </c>
      <c r="C48" s="1">
        <v>23500</v>
      </c>
      <c r="D48" s="3">
        <v>0.75</v>
      </c>
      <c r="E48" s="1">
        <v>2</v>
      </c>
      <c r="F48" s="1" t="str">
        <f>IF(Table1[[#This Row],[Rating]]&gt;=4,"HIGH",IF(Table1[[#This Row],[Rating]]=3,"MEDIUM",IF(Table1[[#This Row],[Rating]]&lt;=2,"LOW")))</f>
        <v>LOW</v>
      </c>
      <c r="G48" s="1">
        <f>IF(Table1[[#This Row],[Performance]]="HIGH",5000,IF(Table1[[#This Row],[Performance]]="MEDIUM",3000,IF(Table1[[#This Row],[Performance]]="LOW",2000)))</f>
        <v>2000</v>
      </c>
    </row>
    <row r="49" spans="1:7" x14ac:dyDescent="0.25">
      <c r="A49" s="1" t="s">
        <v>55</v>
      </c>
      <c r="B49" s="1" t="s">
        <v>10</v>
      </c>
      <c r="C49" s="1">
        <v>26500</v>
      </c>
      <c r="D49" s="3">
        <v>0.81</v>
      </c>
      <c r="E49" s="1">
        <v>3</v>
      </c>
      <c r="F49" s="1" t="str">
        <f>IF(Table1[[#This Row],[Rating]]&gt;=4,"HIGH",IF(Table1[[#This Row],[Rating]]=3,"MEDIUM",IF(Table1[[#This Row],[Rating]]&lt;=2,"LOW")))</f>
        <v>MEDIUM</v>
      </c>
      <c r="G49" s="1">
        <f>IF(Table1[[#This Row],[Performance]]="HIGH",5000,IF(Table1[[#This Row],[Performance]]="MEDIUM",3000,IF(Table1[[#This Row],[Performance]]="LOW",2000)))</f>
        <v>3000</v>
      </c>
    </row>
    <row r="50" spans="1:7" x14ac:dyDescent="0.25">
      <c r="A50" s="1" t="s">
        <v>56</v>
      </c>
      <c r="B50" s="1" t="s">
        <v>8</v>
      </c>
      <c r="C50" s="1">
        <v>37500</v>
      </c>
      <c r="D50" s="3">
        <v>0.95</v>
      </c>
      <c r="E50" s="1">
        <v>5</v>
      </c>
      <c r="F50" s="1" t="str">
        <f>IF(Table1[[#This Row],[Rating]]&gt;=4,"HIGH",IF(Table1[[#This Row],[Rating]]=3,"MEDIUM",IF(Table1[[#This Row],[Rating]]&lt;=2,"LOW")))</f>
        <v>HIGH</v>
      </c>
      <c r="G50" s="1">
        <f>IF(Table1[[#This Row],[Performance]]="HIGH",5000,IF(Table1[[#This Row],[Performance]]="MEDIUM",3000,IF(Table1[[#This Row],[Performance]]="LOW",2000)))</f>
        <v>5000</v>
      </c>
    </row>
    <row r="51" spans="1:7" x14ac:dyDescent="0.25">
      <c r="A51" s="1" t="s">
        <v>57</v>
      </c>
      <c r="B51" s="1" t="s">
        <v>6</v>
      </c>
      <c r="C51" s="1">
        <v>22500</v>
      </c>
      <c r="D51" s="3">
        <v>0.72</v>
      </c>
      <c r="E51" s="1">
        <v>2</v>
      </c>
      <c r="F51" s="1" t="str">
        <f>IF(Table1[[#This Row],[Rating]]&gt;=4,"HIGH",IF(Table1[[#This Row],[Rating]]=3,"MEDIUM",IF(Table1[[#This Row],[Rating]]&lt;=2,"LOW")))</f>
        <v>LOW</v>
      </c>
      <c r="G51" s="1">
        <f>IF(Table1[[#This Row],[Performance]]="HIGH",5000,IF(Table1[[#This Row],[Performance]]="MEDIUM",3000,IF(Table1[[#This Row],[Performance]]="LOW",2000)))</f>
        <v>2000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Raw</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2026-04-16T06:16:57Z</dcterms:created>
  <dcterms:modified xsi:type="dcterms:W3CDTF">2026-04-16T06:42:05Z</dcterms:modified>
</cp:coreProperties>
</file>