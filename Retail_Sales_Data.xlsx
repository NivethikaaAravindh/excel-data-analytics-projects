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OneDrive\Desktop\da\Projects\excel projects\"/>
    </mc:Choice>
  </mc:AlternateContent>
  <bookViews>
    <workbookView xWindow="0" yWindow="0" windowWidth="20490" windowHeight="8880" activeTab="2"/>
  </bookViews>
  <sheets>
    <sheet name="Data" sheetId="1" r:id="rId1"/>
    <sheet name="Analysis" sheetId="5" r:id="rId2"/>
    <sheet name="Dashboard" sheetId="6" r:id="rId3"/>
  </sheets>
  <definedNames>
    <definedName name="Slicer_Product">#N/A</definedName>
    <definedName name="Slicer_Region">#N/A</definedName>
  </definedNames>
  <calcPr calcId="152511"/>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L8" i="6" l="1"/>
  <c r="C8" i="6"/>
  <c r="C29" i="6"/>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alcChain>
</file>

<file path=xl/sharedStrings.xml><?xml version="1.0" encoding="utf-8"?>
<sst xmlns="http://schemas.openxmlformats.org/spreadsheetml/2006/main" count="438" uniqueCount="80">
  <si>
    <t>Order ID</t>
  </si>
  <si>
    <t>Date</t>
  </si>
  <si>
    <t>Region</t>
  </si>
  <si>
    <t>Product</t>
  </si>
  <si>
    <t>Category</t>
  </si>
  <si>
    <t>Sales</t>
  </si>
  <si>
    <t>Quantity</t>
  </si>
  <si>
    <t>17-02-2024</t>
  </si>
  <si>
    <t>West</t>
  </si>
  <si>
    <t>Tablet</t>
  </si>
  <si>
    <t>Electronics</t>
  </si>
  <si>
    <t>20-01-2024</t>
  </si>
  <si>
    <t>East</t>
  </si>
  <si>
    <t>Sofa</t>
  </si>
  <si>
    <t>Furniture</t>
  </si>
  <si>
    <t>26-02-2024</t>
  </si>
  <si>
    <t>South</t>
  </si>
  <si>
    <t>29-01-2024</t>
  </si>
  <si>
    <t>Table</t>
  </si>
  <si>
    <t>23-02-2024</t>
  </si>
  <si>
    <t>Phone</t>
  </si>
  <si>
    <t>06-02-2024</t>
  </si>
  <si>
    <t>Laptop</t>
  </si>
  <si>
    <t>20-02-2024</t>
  </si>
  <si>
    <t>North</t>
  </si>
  <si>
    <t>22-02-2024</t>
  </si>
  <si>
    <t>07-01-2024</t>
  </si>
  <si>
    <t>Chair</t>
  </si>
  <si>
    <t>08-02-2024</t>
  </si>
  <si>
    <t>29-02-2024</t>
  </si>
  <si>
    <t>10-01-2024</t>
  </si>
  <si>
    <t>14-02-2024</t>
  </si>
  <si>
    <t>01-02-2024</t>
  </si>
  <si>
    <t>28-01-2024</t>
  </si>
  <si>
    <t>04-01-2024</t>
  </si>
  <si>
    <t>11-01-2024</t>
  </si>
  <si>
    <t>21-02-2024</t>
  </si>
  <si>
    <t>13-01-2024</t>
  </si>
  <si>
    <t>31-01-2024</t>
  </si>
  <si>
    <t>10-02-2024</t>
  </si>
  <si>
    <t>Headphones</t>
  </si>
  <si>
    <t>14-01-2024</t>
  </si>
  <si>
    <t>24-02-2024</t>
  </si>
  <si>
    <t>05-01-2024</t>
  </si>
  <si>
    <t>24-01-2024</t>
  </si>
  <si>
    <t>16-02-2024</t>
  </si>
  <si>
    <t>07-02-2024</t>
  </si>
  <si>
    <t>05-02-2024</t>
  </si>
  <si>
    <t>15-02-2024</t>
  </si>
  <si>
    <t>15-01-2024</t>
  </si>
  <si>
    <t>12-02-2024</t>
  </si>
  <si>
    <t>04-02-2024</t>
  </si>
  <si>
    <t>11-02-2024</t>
  </si>
  <si>
    <t>06-01-2024</t>
  </si>
  <si>
    <t>27-01-2024</t>
  </si>
  <si>
    <t>02-01-2024</t>
  </si>
  <si>
    <t>16-01-2024</t>
  </si>
  <si>
    <t>01-01-2024</t>
  </si>
  <si>
    <t>25-02-2024</t>
  </si>
  <si>
    <t>18-01-2024</t>
  </si>
  <si>
    <t>19-02-2024</t>
  </si>
  <si>
    <t>28-02-2024</t>
  </si>
  <si>
    <t>12-01-2024</t>
  </si>
  <si>
    <t>25-01-2024</t>
  </si>
  <si>
    <t>02-02-2024</t>
  </si>
  <si>
    <t>23-01-2024</t>
  </si>
  <si>
    <t>18-02-2024</t>
  </si>
  <si>
    <t>09-02-2024</t>
  </si>
  <si>
    <t>Sum of Sales</t>
  </si>
  <si>
    <t>Row Labels</t>
  </si>
  <si>
    <t>Grand Total</t>
  </si>
  <si>
    <t>Feb</t>
  </si>
  <si>
    <t>Jan</t>
  </si>
  <si>
    <t>month</t>
  </si>
  <si>
    <t>Count of Sales</t>
  </si>
  <si>
    <t>Retail Analysis Dashboard</t>
  </si>
  <si>
    <t>Count of Order ID</t>
  </si>
  <si>
    <t>Sales by Region</t>
  </si>
  <si>
    <t>Sales by products</t>
  </si>
  <si>
    <t>sales by month</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</si>
</sst>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24"/>
      <color theme="1"/>
      <name val="Calibri"/>
      <family val="2"/>
      <scheme val="minor"/>
    </font>
    <font>
      <sz val="18"/>
      <color theme="1"/>
      <name val="Calibri"/>
      <family val="2"/>
      <scheme val="minor"/>
    </font>
    <font>
      <sz val="20"/>
      <color theme="1"/>
      <name val="Calibri"/>
      <family val="2"/>
      <scheme val="minor"/>
    </font>
    <font>
      <b/>
      <sz val="18"/>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center"/>
    </xf>
    <xf numFmtId="0" fontId="1" fillId="4" borderId="0" xfId="0" applyFont="1" applyFill="1" applyAlignment="1">
      <alignment horizontal="center"/>
    </xf>
    <xf numFmtId="0" fontId="4" fillId="3" borderId="0" xfId="0" applyFont="1" applyFill="1"/>
    <xf numFmtId="0" fontId="2" fillId="3" borderId="0" xfId="0" applyFont="1" applyFill="1" applyAlignment="1">
      <alignment horizontal="center"/>
    </xf>
    <xf numFmtId="0" fontId="3" fillId="0" borderId="0" xfId="0" applyNumberFormat="1" applyFont="1" applyAlignment="1">
      <alignment horizontal="center"/>
    </xf>
    <xf numFmtId="0" fontId="4" fillId="3" borderId="0" xfId="0" applyFont="1" applyFill="1" applyAlignment="1">
      <alignment horizontal="center"/>
    </xf>
    <xf numFmtId="0" fontId="3" fillId="2" borderId="0" xfId="0" applyNumberFormat="1" applyFont="1" applyFill="1" applyAlignment="1">
      <alignment horizontal="center"/>
    </xf>
    <xf numFmtId="0" fontId="3" fillId="2" borderId="0" xfId="0" applyFont="1" applyFill="1" applyAlignment="1">
      <alignment horizontal="center"/>
    </xf>
    <xf numFmtId="0" fontId="5" fillId="2" borderId="0" xfId="0" applyFont="1" applyFill="1"/>
  </cellXfs>
  <cellStyles count="1">
    <cellStyle name="Normal" xfId="0" builtinId="0"/>
  </cellStyles>
  <dxfs count="40">
    <dxf>
      <fill>
        <patternFill patternType="solid">
          <bgColor theme="2" tint="-9.9978637043366805E-2"/>
        </patternFill>
      </fill>
    </dxf>
    <dxf>
      <font>
        <sz val="20"/>
      </font>
    </dxf>
    <dxf>
      <font>
        <sz val="20"/>
      </font>
    </dxf>
    <dxf>
      <font>
        <sz val="18"/>
      </font>
    </dxf>
    <dxf>
      <alignment horizontal="center" readingOrder="0"/>
    </dxf>
    <dxf>
      <alignment horizontal="center" readingOrder="0"/>
    </dxf>
    <dxf>
      <alignment horizontal="center" readingOrder="0"/>
    </dxf>
    <dxf>
      <fill>
        <patternFill patternType="solid">
          <bgColor theme="2" tint="-9.9978637043366805E-2"/>
        </patternFill>
      </fill>
    </dxf>
    <dxf>
      <font>
        <sz val="20"/>
      </font>
    </dxf>
    <dxf>
      <font>
        <sz val="20"/>
      </font>
    </dxf>
    <dxf>
      <font>
        <sz val="18"/>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font>
        <sz val="20"/>
      </font>
    </dxf>
    <dxf>
      <font>
        <sz val="18"/>
      </font>
    </dxf>
    <dxf>
      <font>
        <sz val="20"/>
      </font>
    </dxf>
    <dxf>
      <font>
        <sz val="18"/>
      </font>
    </dxf>
    <dxf>
      <font>
        <sz val="20"/>
      </font>
    </dxf>
    <dxf>
      <font>
        <sz val="12"/>
      </font>
    </dxf>
    <dxf>
      <font>
        <sz val="12"/>
      </font>
    </dxf>
    <dxf>
      <font>
        <sz val="12"/>
      </font>
    </dxf>
    <dxf>
      <font>
        <sz val="20"/>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0"/>
        </patternFill>
      </fill>
    </dxf>
    <dxf>
      <fill>
        <patternFill>
          <bgColor theme="0"/>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[Retail_Sales_Data.xlsx]Analysis!PivotTable1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Analysis!$D$5</c:f>
              <c:strCache>
                <c:ptCount val="1"/>
                <c:pt idx="0">
                  <c:v>Total</c:v>
                </c:pt>
              </c:strCache>
            </c:strRef>
          </c:tx>
          <c:spPr>
            <a:solidFill>
              <a:schemeClr val="accent1"/>
            </a:solidFill>
            <a:ln>
              <a:noFill/>
            </a:ln>
            <a:effectLst/>
          </c:spPr>
          <c:invertIfNegative val="0"/>
          <c:cat>
            <c:strRef>
              <c:f>Analysis!$C$6:$C$10</c:f>
              <c:strCache>
                <c:ptCount val="4"/>
                <c:pt idx="0">
                  <c:v>East</c:v>
                </c:pt>
                <c:pt idx="1">
                  <c:v>North</c:v>
                </c:pt>
                <c:pt idx="2">
                  <c:v>South</c:v>
                </c:pt>
                <c:pt idx="3">
                  <c:v>West</c:v>
                </c:pt>
              </c:strCache>
            </c:strRef>
          </c:cat>
          <c:val>
            <c:numRef>
              <c:f>Analysis!$D$6:$D$10</c:f>
              <c:numCache>
                <c:formatCode>General</c:formatCode>
                <c:ptCount val="4"/>
                <c:pt idx="0">
                  <c:v>24</c:v>
                </c:pt>
                <c:pt idx="1">
                  <c:v>20</c:v>
                </c:pt>
                <c:pt idx="2">
                  <c:v>30</c:v>
                </c:pt>
                <c:pt idx="3">
                  <c:v>26</c:v>
                </c:pt>
              </c:numCache>
            </c:numRef>
          </c:val>
        </c:ser>
        <c:dLbls>
          <c:showLegendKey val="0"/>
          <c:showVal val="0"/>
          <c:showCatName val="0"/>
          <c:showSerName val="0"/>
          <c:showPercent val="0"/>
          <c:showBubbleSize val="0"/>
        </c:dLbls>
        <c:gapWidth val="182"/>
        <c:axId val="322492936"/>
        <c:axId val="322493328"/>
      </c:barChart>
      <c:catAx>
        <c:axId val="322492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93328"/>
        <c:crosses val="autoZero"/>
        <c:auto val="1"/>
        <c:lblAlgn val="ctr"/>
        <c:lblOffset val="100"/>
        <c:noMultiLvlLbl val="0"/>
      </c:catAx>
      <c:valAx>
        <c:axId val="322493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92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[Retail_Sales_Data.xlsx]Analysis!PivotTable2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Analysis!$H$5</c:f>
              <c:strCache>
                <c:ptCount val="1"/>
                <c:pt idx="0">
                  <c:v>Total</c:v>
                </c:pt>
              </c:strCache>
            </c:strRef>
          </c:tx>
          <c:spPr>
            <a:solidFill>
              <a:schemeClr val="accent1"/>
            </a:solidFill>
            <a:ln>
              <a:noFill/>
            </a:ln>
            <a:effectLst/>
          </c:spPr>
          <c:invertIfNegative val="0"/>
          <c:cat>
            <c:strRef>
              <c:f>Analysis!$G$6:$G$13</c:f>
              <c:strCache>
                <c:ptCount val="7"/>
                <c:pt idx="0">
                  <c:v>Chair</c:v>
                </c:pt>
                <c:pt idx="1">
                  <c:v>Headphones</c:v>
                </c:pt>
                <c:pt idx="2">
                  <c:v>Laptop</c:v>
                </c:pt>
                <c:pt idx="3">
                  <c:v>Phone</c:v>
                </c:pt>
                <c:pt idx="4">
                  <c:v>Sofa</c:v>
                </c:pt>
                <c:pt idx="5">
                  <c:v>Table</c:v>
                </c:pt>
                <c:pt idx="6">
                  <c:v>Tablet</c:v>
                </c:pt>
              </c:strCache>
            </c:strRef>
          </c:cat>
          <c:val>
            <c:numRef>
              <c:f>Analysis!$H$6:$H$13</c:f>
              <c:numCache>
                <c:formatCode>General</c:formatCode>
                <c:ptCount val="7"/>
                <c:pt idx="0">
                  <c:v>13</c:v>
                </c:pt>
                <c:pt idx="1">
                  <c:v>18</c:v>
                </c:pt>
                <c:pt idx="2">
                  <c:v>12</c:v>
                </c:pt>
                <c:pt idx="3">
                  <c:v>15</c:v>
                </c:pt>
                <c:pt idx="4">
                  <c:v>13</c:v>
                </c:pt>
                <c:pt idx="5">
                  <c:v>15</c:v>
                </c:pt>
                <c:pt idx="6">
                  <c:v>14</c:v>
                </c:pt>
              </c:numCache>
            </c:numRef>
          </c:val>
        </c:ser>
        <c:dLbls>
          <c:showLegendKey val="0"/>
          <c:showVal val="0"/>
          <c:showCatName val="0"/>
          <c:showSerName val="0"/>
          <c:showPercent val="0"/>
          <c:showBubbleSize val="0"/>
        </c:dLbls>
        <c:gapWidth val="219"/>
        <c:overlap val="-27"/>
        <c:axId val="326146504"/>
        <c:axId val="326142976"/>
      </c:barChart>
      <c:catAx>
        <c:axId val="326146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142976"/>
        <c:crosses val="autoZero"/>
        <c:auto val="1"/>
        <c:lblAlgn val="ctr"/>
        <c:lblOffset val="100"/>
        <c:noMultiLvlLbl val="0"/>
      </c:catAx>
      <c:valAx>
        <c:axId val="32614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146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[Retail_Sales_Data.xlsx]Analysis!PivotTable3</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Analysis!$M$5</c:f>
              <c:strCache>
                <c:ptCount val="1"/>
                <c:pt idx="0">
                  <c:v>Total</c:v>
                </c:pt>
              </c:strCache>
            </c:strRef>
          </c:tx>
          <c:spPr>
            <a:ln w="28575" cap="rnd">
              <a:solidFill>
                <a:schemeClr val="accent1"/>
              </a:solidFill>
              <a:round/>
            </a:ln>
            <a:effectLst/>
          </c:spPr>
          <c:marker>
            <c:symbol val="none"/>
          </c:marker>
          <c:cat>
            <c:strRef>
              <c:f>Analysis!$L$6:$L$8</c:f>
              <c:strCache>
                <c:ptCount val="2"/>
                <c:pt idx="0">
                  <c:v>Jan</c:v>
                </c:pt>
                <c:pt idx="1">
                  <c:v>Feb</c:v>
                </c:pt>
              </c:strCache>
            </c:strRef>
          </c:cat>
          <c:val>
            <c:numRef>
              <c:f>Analysis!$M$6:$M$8</c:f>
              <c:numCache>
                <c:formatCode>General</c:formatCode>
                <c:ptCount val="2"/>
                <c:pt idx="0">
                  <c:v>47</c:v>
                </c:pt>
                <c:pt idx="1">
                  <c:v>53</c:v>
                </c:pt>
              </c:numCache>
            </c:numRef>
          </c:val>
          <c:smooth val="0"/>
        </c:ser>
        <c:dLbls>
          <c:showLegendKey val="0"/>
          <c:showVal val="0"/>
          <c:showCatName val="0"/>
          <c:showSerName val="0"/>
          <c:showPercent val="0"/>
          <c:showBubbleSize val="0"/>
        </c:dLbls>
        <c:smooth val="0"/>
        <c:axId val="277531936"/>
        <c:axId val="277536248"/>
      </c:lineChart>
      <c:catAx>
        <c:axId val="27753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36248"/>
        <c:crosses val="autoZero"/>
        <c:auto val="1"/>
        <c:lblAlgn val="ctr"/>
        <c:lblOffset val="100"/>
        <c:noMultiLvlLbl val="0"/>
      </c:catAx>
      <c:valAx>
        <c:axId val="277536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31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[Retail_Sales_Data.xlsx]Analysis!PivotTable1</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Region</a:t>
            </a:r>
          </a:p>
        </c:rich>
      </c:tx>
      <c:layout>
        <c:manualLayout>
          <c:xMode val="edge"/>
          <c:yMode val="edge"/>
          <c:x val="0.45846482112922049"/>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pivotFmt>
    </c:pivotFmts>
    <c:plotArea>
      <c:layout/>
      <c:barChart>
        <c:barDir val="bar"/>
        <c:grouping val="clustered"/>
        <c:varyColors val="0"/>
        <c:ser>
          <c:idx val="0"/>
          <c:order val="0"/>
          <c:tx>
            <c:strRef>
              <c:f>Analysis!$D$5</c:f>
              <c:strCache>
                <c:ptCount val="1"/>
                <c:pt idx="0">
                  <c:v>Total</c:v>
                </c:pt>
              </c:strCache>
            </c:strRef>
          </c:tx>
          <c:spPr>
            <a:solidFill>
              <a:schemeClr val="dk1">
                <a:tint val="88500"/>
              </a:schemeClr>
            </a:solidFill>
            <a:ln>
              <a:noFill/>
            </a:ln>
            <a:effectLst/>
          </c:spPr>
          <c:invertIfNegative val="0"/>
          <c:cat>
            <c:strRef>
              <c:f>Analysis!$C$6:$C$10</c:f>
              <c:strCache>
                <c:ptCount val="4"/>
                <c:pt idx="0">
                  <c:v>East</c:v>
                </c:pt>
                <c:pt idx="1">
                  <c:v>North</c:v>
                </c:pt>
                <c:pt idx="2">
                  <c:v>South</c:v>
                </c:pt>
                <c:pt idx="3">
                  <c:v>West</c:v>
                </c:pt>
              </c:strCache>
            </c:strRef>
          </c:cat>
          <c:val>
            <c:numRef>
              <c:f>Analysis!$D$6:$D$10</c:f>
              <c:numCache>
                <c:formatCode>General</c:formatCode>
                <c:ptCount val="4"/>
                <c:pt idx="0">
                  <c:v>24</c:v>
                </c:pt>
                <c:pt idx="1">
                  <c:v>20</c:v>
                </c:pt>
                <c:pt idx="2">
                  <c:v>30</c:v>
                </c:pt>
                <c:pt idx="3">
                  <c:v>26</c:v>
                </c:pt>
              </c:numCache>
            </c:numRef>
          </c:val>
        </c:ser>
        <c:dLbls>
          <c:showLegendKey val="0"/>
          <c:showVal val="0"/>
          <c:showCatName val="0"/>
          <c:showSerName val="0"/>
          <c:showPercent val="0"/>
          <c:showBubbleSize val="0"/>
        </c:dLbls>
        <c:gapWidth val="182"/>
        <c:axId val="336348024"/>
        <c:axId val="336348416"/>
      </c:barChart>
      <c:catAx>
        <c:axId val="336348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48416"/>
        <c:crosses val="autoZero"/>
        <c:auto val="1"/>
        <c:lblAlgn val="ctr"/>
        <c:lblOffset val="100"/>
        <c:noMultiLvlLbl val="0"/>
      </c:catAx>
      <c:valAx>
        <c:axId val="33634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48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[Retail_Sales_Data.xlsx]Analysis!PivotTable2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a:t>
            </a:r>
          </a:p>
        </c:rich>
      </c:tx>
      <c:layout>
        <c:manualLayout>
          <c:xMode val="edge"/>
          <c:yMode val="edge"/>
          <c:x val="0.43266190774398833"/>
          <c:y val="9.62015164771070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pivotFmt>
    </c:pivotFmts>
    <c:plotArea>
      <c:layout/>
      <c:barChart>
        <c:barDir val="col"/>
        <c:grouping val="clustered"/>
        <c:varyColors val="0"/>
        <c:ser>
          <c:idx val="0"/>
          <c:order val="0"/>
          <c:tx>
            <c:strRef>
              <c:f>Analysis!$H$5</c:f>
              <c:strCache>
                <c:ptCount val="1"/>
                <c:pt idx="0">
                  <c:v>Total</c:v>
                </c:pt>
              </c:strCache>
            </c:strRef>
          </c:tx>
          <c:spPr>
            <a:solidFill>
              <a:schemeClr val="dk1">
                <a:tint val="88500"/>
              </a:schemeClr>
            </a:solidFill>
            <a:ln>
              <a:noFill/>
            </a:ln>
            <a:effectLst/>
          </c:spPr>
          <c:invertIfNegative val="0"/>
          <c:cat>
            <c:strRef>
              <c:f>Analysis!$G$6:$G$13</c:f>
              <c:strCache>
                <c:ptCount val="7"/>
                <c:pt idx="0">
                  <c:v>Chair</c:v>
                </c:pt>
                <c:pt idx="1">
                  <c:v>Headphones</c:v>
                </c:pt>
                <c:pt idx="2">
                  <c:v>Laptop</c:v>
                </c:pt>
                <c:pt idx="3">
                  <c:v>Phone</c:v>
                </c:pt>
                <c:pt idx="4">
                  <c:v>Sofa</c:v>
                </c:pt>
                <c:pt idx="5">
                  <c:v>Table</c:v>
                </c:pt>
                <c:pt idx="6">
                  <c:v>Tablet</c:v>
                </c:pt>
              </c:strCache>
            </c:strRef>
          </c:cat>
          <c:val>
            <c:numRef>
              <c:f>Analysis!$H$6:$H$13</c:f>
              <c:numCache>
                <c:formatCode>General</c:formatCode>
                <c:ptCount val="7"/>
                <c:pt idx="0">
                  <c:v>13</c:v>
                </c:pt>
                <c:pt idx="1">
                  <c:v>18</c:v>
                </c:pt>
                <c:pt idx="2">
                  <c:v>12</c:v>
                </c:pt>
                <c:pt idx="3">
                  <c:v>15</c:v>
                </c:pt>
                <c:pt idx="4">
                  <c:v>13</c:v>
                </c:pt>
                <c:pt idx="5">
                  <c:v>15</c:v>
                </c:pt>
                <c:pt idx="6">
                  <c:v>14</c:v>
                </c:pt>
              </c:numCache>
            </c:numRef>
          </c:val>
        </c:ser>
        <c:dLbls>
          <c:showLegendKey val="0"/>
          <c:showVal val="0"/>
          <c:showCatName val="0"/>
          <c:showSerName val="0"/>
          <c:showPercent val="0"/>
          <c:showBubbleSize val="0"/>
        </c:dLbls>
        <c:gapWidth val="219"/>
        <c:overlap val="-27"/>
        <c:axId val="325344408"/>
        <c:axId val="325344800"/>
      </c:barChart>
      <c:catAx>
        <c:axId val="32534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344800"/>
        <c:crosses val="autoZero"/>
        <c:auto val="1"/>
        <c:lblAlgn val="ctr"/>
        <c:lblOffset val="100"/>
        <c:noMultiLvlLbl val="0"/>
      </c:catAx>
      <c:valAx>
        <c:axId val="32534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344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[Retail_Sales_Data.xlsx]Analysis!PivotTable3</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
        <c:idx val="2"/>
        <c:spPr>
          <a:ln w="28575" cap="rnd">
            <a:solidFill>
              <a:schemeClr val="dk1">
                <a:tint val="88500"/>
              </a:schemeClr>
            </a:solidFill>
            <a:round/>
          </a:ln>
          <a:effectLst/>
        </c:spPr>
        <c:marker>
          <c:symbol val="none"/>
        </c:marker>
      </c:pivotFmt>
    </c:pivotFmts>
    <c:plotArea>
      <c:layout/>
      <c:lineChart>
        <c:grouping val="standard"/>
        <c:varyColors val="0"/>
        <c:ser>
          <c:idx val="0"/>
          <c:order val="0"/>
          <c:tx>
            <c:strRef>
              <c:f>Analysis!$M$5</c:f>
              <c:strCache>
                <c:ptCount val="1"/>
                <c:pt idx="0">
                  <c:v>Total</c:v>
                </c:pt>
              </c:strCache>
            </c:strRef>
          </c:tx>
          <c:spPr>
            <a:ln w="28575" cap="rnd">
              <a:solidFill>
                <a:schemeClr val="dk1">
                  <a:tint val="88500"/>
                </a:schemeClr>
              </a:solidFill>
              <a:round/>
            </a:ln>
            <a:effectLst/>
          </c:spPr>
          <c:marker>
            <c:symbol val="none"/>
          </c:marker>
          <c:cat>
            <c:strRef>
              <c:f>Analysis!$L$6:$L$8</c:f>
              <c:strCache>
                <c:ptCount val="2"/>
                <c:pt idx="0">
                  <c:v>Jan</c:v>
                </c:pt>
                <c:pt idx="1">
                  <c:v>Feb</c:v>
                </c:pt>
              </c:strCache>
            </c:strRef>
          </c:cat>
          <c:val>
            <c:numRef>
              <c:f>Analysis!$M$6:$M$8</c:f>
              <c:numCache>
                <c:formatCode>General</c:formatCode>
                <c:ptCount val="2"/>
                <c:pt idx="0">
                  <c:v>47</c:v>
                </c:pt>
                <c:pt idx="1">
                  <c:v>53</c:v>
                </c:pt>
              </c:numCache>
            </c:numRef>
          </c:val>
          <c:smooth val="0"/>
        </c:ser>
        <c:dLbls>
          <c:showLegendKey val="0"/>
          <c:showVal val="0"/>
          <c:showCatName val="0"/>
          <c:showSerName val="0"/>
          <c:showPercent val="0"/>
          <c:showBubbleSize val="0"/>
        </c:dLbls>
        <c:smooth val="0"/>
        <c:axId val="326148072"/>
        <c:axId val="326150032"/>
      </c:lineChart>
      <c:catAx>
        <c:axId val="326148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150032"/>
        <c:crosses val="autoZero"/>
        <c:auto val="1"/>
        <c:lblAlgn val="ctr"/>
        <c:lblOffset val="100"/>
        <c:noMultiLvlLbl val="0"/>
      </c:catAx>
      <c:valAx>
        <c:axId val="32615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148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14</xdr:row>
      <xdr:rowOff>19050</xdr:rowOff>
    </xdr:from>
    <xdr:to>
      <xdr:col>4</xdr:col>
      <xdr:colOff>1066800</xdr:colOff>
      <xdr:row>28</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342900</xdr:colOff>
      <xdr:row>14</xdr:row>
      <xdr:rowOff>0</xdr:rowOff>
    </xdr:from>
    <xdr:to>
      <xdr:col>11</xdr:col>
      <xdr:colOff>504825</xdr:colOff>
      <xdr:row>28</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361950</xdr:colOff>
      <xdr:row>22</xdr:row>
      <xdr:rowOff>133350</xdr:rowOff>
    </xdr:from>
    <xdr:to>
      <xdr:col>22</xdr:col>
      <xdr:colOff>361950</xdr:colOff>
      <xdr:row>35</xdr:row>
      <xdr:rowOff>180975</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592300" y="4324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295275</xdr:colOff>
      <xdr:row>8</xdr:row>
      <xdr:rowOff>9525</xdr:rowOff>
    </xdr:from>
    <xdr:to>
      <xdr:col>22</xdr:col>
      <xdr:colOff>295275</xdr:colOff>
      <xdr:row>21</xdr:row>
      <xdr:rowOff>57150</xdr:rowOff>
    </xdr:to>
    <mc:AlternateContent xmlns:mc="http://schemas.openxmlformats.org/markup-compatibility/2006">
      <mc:Choice xmlns:a14="http://schemas.microsoft.com/office/drawing/2010/main" Requires="a14">
        <xdr:graphicFrame macro="">
          <xdr:nvGraphicFramePr>
            <xdr:cNvPr id="6"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4525625" y="1533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266700</xdr:colOff>
      <xdr:row>13</xdr:row>
      <xdr:rowOff>161925</xdr:rowOff>
    </xdr:from>
    <xdr:to>
      <xdr:col>19</xdr:col>
      <xdr:colOff>266700</xdr:colOff>
      <xdr:row>28</xdr:row>
      <xdr:rowOff>47625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0</xdr:rowOff>
    </xdr:from>
    <xdr:to>
      <xdr:col>6</xdr:col>
      <xdr:colOff>495300</xdr:colOff>
      <xdr:row>24</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10</xdr:row>
      <xdr:rowOff>0</xdr:rowOff>
    </xdr:from>
    <xdr:to>
      <xdr:col>17</xdr:col>
      <xdr:colOff>123825</xdr:colOff>
      <xdr:row>24</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30</xdr:row>
      <xdr:rowOff>0</xdr:rowOff>
    </xdr:from>
    <xdr:to>
      <xdr:col>7</xdr:col>
      <xdr:colOff>104775</xdr:colOff>
      <xdr:row>44</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30</xdr:row>
      <xdr:rowOff>0</xdr:rowOff>
    </xdr:from>
    <xdr:to>
      <xdr:col>11</xdr:col>
      <xdr:colOff>58271</xdr:colOff>
      <xdr:row>43</xdr:row>
      <xdr:rowOff>47625</xdr:rowOff>
    </xdr:to>
    <mc:AlternateContent xmlns:mc="http://schemas.openxmlformats.org/markup-compatibility/2006">
      <mc:Choice xmlns:a14="http://schemas.microsoft.com/office/drawing/2010/main" Requires="a14">
        <xdr:graphicFrame macro="">
          <xdr:nvGraphicFramePr>
            <xdr:cNvPr id="5"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7239000" y="6442364"/>
              <a:ext cx="182472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30</xdr:row>
      <xdr:rowOff>0</xdr:rowOff>
    </xdr:from>
    <xdr:to>
      <xdr:col>15</xdr:col>
      <xdr:colOff>13447</xdr:colOff>
      <xdr:row>43</xdr:row>
      <xdr:rowOff>47625</xdr:rowOff>
    </xdr:to>
    <mc:AlternateContent xmlns:mc="http://schemas.openxmlformats.org/markup-compatibility/2006">
      <mc:Choice xmlns:a14="http://schemas.microsoft.com/office/drawing/2010/main" Requires="a14">
        <xdr:graphicFrame macro="">
          <xdr:nvGraphicFramePr>
            <xdr:cNvPr id="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611591" y="6442364"/>
              <a:ext cx="183185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12.511739236113" createdVersion="5" refreshedVersion="5" minRefreshableVersion="3" recordCount="100">
  <cacheSource type="worksheet">
    <worksheetSource name="Table1"/>
  </cacheSource>
  <cacheFields count="8">
    <cacheField name="Order ID" numFmtId="0">
      <sharedItems containsSemiMixedTypes="0" containsString="0" containsNumber="1" containsInteger="1" minValue="1001" maxValue="1100"/>
    </cacheField>
    <cacheField name="Date" numFmtId="0">
      <sharedItems/>
    </cacheField>
    <cacheField name="Region" numFmtId="0">
      <sharedItems count="4">
        <s v="West"/>
        <s v="East"/>
        <s v="South"/>
        <s v="North"/>
      </sharedItems>
    </cacheField>
    <cacheField name="Product" numFmtId="0">
      <sharedItems count="7">
        <s v="Tablet"/>
        <s v="Sofa"/>
        <s v="Table"/>
        <s v="Phone"/>
        <s v="Laptop"/>
        <s v="Chair"/>
        <s v="Headphones"/>
      </sharedItems>
    </cacheField>
    <cacheField name="Category" numFmtId="0">
      <sharedItems/>
    </cacheField>
    <cacheField name="Sales" numFmtId="0">
      <sharedItems containsSemiMixedTypes="0" containsString="0" containsNumber="1" containsInteger="1" minValue="4481" maxValue="59353"/>
    </cacheField>
    <cacheField name="Quantity" numFmtId="0">
      <sharedItems containsSemiMixedTypes="0" containsString="0" containsNumber="1" containsInteger="1" minValue="1" maxValue="5"/>
    </cacheField>
    <cacheField name="month" numFmtId="0">
      <sharedItems count="2">
        <s v="Feb"/>
        <s v="Jan"/>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n v="1001"/>
    <s v="17-02-2024"/>
    <x v="0"/>
    <x v="0"/>
    <s v="Electronics"/>
    <n v="28391"/>
    <n v="1"/>
    <x v="0"/>
  </r>
  <r>
    <n v="1002"/>
    <s v="20-01-2024"/>
    <x v="1"/>
    <x v="1"/>
    <s v="Furniture"/>
    <n v="6213"/>
    <n v="2"/>
    <x v="1"/>
  </r>
  <r>
    <n v="1003"/>
    <s v="26-02-2024"/>
    <x v="2"/>
    <x v="1"/>
    <s v="Furniture"/>
    <n v="40991"/>
    <n v="1"/>
    <x v="0"/>
  </r>
  <r>
    <n v="1004"/>
    <s v="29-01-2024"/>
    <x v="1"/>
    <x v="2"/>
    <s v="Furniture"/>
    <n v="29978"/>
    <n v="5"/>
    <x v="1"/>
  </r>
  <r>
    <n v="1005"/>
    <s v="23-02-2024"/>
    <x v="0"/>
    <x v="3"/>
    <s v="Electronics"/>
    <n v="17441"/>
    <n v="2"/>
    <x v="0"/>
  </r>
  <r>
    <n v="1006"/>
    <s v="06-02-2024"/>
    <x v="0"/>
    <x v="4"/>
    <s v="Electronics"/>
    <n v="47890"/>
    <n v="2"/>
    <x v="0"/>
  </r>
  <r>
    <n v="1007"/>
    <s v="20-02-2024"/>
    <x v="3"/>
    <x v="1"/>
    <s v="Furniture"/>
    <n v="54676"/>
    <n v="5"/>
    <x v="0"/>
  </r>
  <r>
    <n v="1008"/>
    <s v="22-02-2024"/>
    <x v="3"/>
    <x v="0"/>
    <s v="Electronics"/>
    <n v="54221"/>
    <n v="2"/>
    <x v="0"/>
  </r>
  <r>
    <n v="1009"/>
    <s v="07-01-2024"/>
    <x v="2"/>
    <x v="5"/>
    <s v="Furniture"/>
    <n v="52130"/>
    <n v="4"/>
    <x v="1"/>
  </r>
  <r>
    <n v="1010"/>
    <s v="08-02-2024"/>
    <x v="0"/>
    <x v="4"/>
    <s v="Electronics"/>
    <n v="31187"/>
    <n v="3"/>
    <x v="0"/>
  </r>
  <r>
    <n v="1011"/>
    <s v="29-02-2024"/>
    <x v="1"/>
    <x v="1"/>
    <s v="Furniture"/>
    <n v="44141"/>
    <n v="4"/>
    <x v="0"/>
  </r>
  <r>
    <n v="1012"/>
    <s v="10-01-2024"/>
    <x v="1"/>
    <x v="0"/>
    <s v="Electronics"/>
    <n v="8385"/>
    <n v="5"/>
    <x v="1"/>
  </r>
  <r>
    <n v="1013"/>
    <s v="14-02-2024"/>
    <x v="1"/>
    <x v="2"/>
    <s v="Furniture"/>
    <n v="35871"/>
    <n v="5"/>
    <x v="0"/>
  </r>
  <r>
    <n v="1014"/>
    <s v="01-02-2024"/>
    <x v="2"/>
    <x v="4"/>
    <s v="Electronics"/>
    <n v="52144"/>
    <n v="1"/>
    <x v="0"/>
  </r>
  <r>
    <n v="1015"/>
    <s v="28-01-2024"/>
    <x v="2"/>
    <x v="2"/>
    <s v="Furniture"/>
    <n v="38373"/>
    <n v="2"/>
    <x v="1"/>
  </r>
  <r>
    <n v="1016"/>
    <s v="04-01-2024"/>
    <x v="2"/>
    <x v="3"/>
    <s v="Electronics"/>
    <n v="41995"/>
    <n v="1"/>
    <x v="1"/>
  </r>
  <r>
    <n v="1017"/>
    <s v="11-01-2024"/>
    <x v="1"/>
    <x v="3"/>
    <s v="Electronics"/>
    <n v="48387"/>
    <n v="1"/>
    <x v="1"/>
  </r>
  <r>
    <n v="1018"/>
    <s v="21-02-2024"/>
    <x v="3"/>
    <x v="3"/>
    <s v="Electronics"/>
    <n v="56487"/>
    <n v="3"/>
    <x v="0"/>
  </r>
  <r>
    <n v="1019"/>
    <s v="13-01-2024"/>
    <x v="1"/>
    <x v="2"/>
    <s v="Furniture"/>
    <n v="27007"/>
    <n v="4"/>
    <x v="1"/>
  </r>
  <r>
    <n v="1020"/>
    <s v="31-01-2024"/>
    <x v="3"/>
    <x v="5"/>
    <s v="Furniture"/>
    <n v="48079"/>
    <n v="4"/>
    <x v="1"/>
  </r>
  <r>
    <n v="1021"/>
    <s v="08-02-2024"/>
    <x v="2"/>
    <x v="3"/>
    <s v="Electronics"/>
    <n v="17964"/>
    <n v="5"/>
    <x v="0"/>
  </r>
  <r>
    <n v="1022"/>
    <s v="10-02-2024"/>
    <x v="2"/>
    <x v="6"/>
    <s v="Electronics"/>
    <n v="4481"/>
    <n v="3"/>
    <x v="0"/>
  </r>
  <r>
    <n v="1023"/>
    <s v="14-01-2024"/>
    <x v="1"/>
    <x v="5"/>
    <s v="Furniture"/>
    <n v="28996"/>
    <n v="3"/>
    <x v="1"/>
  </r>
  <r>
    <n v="1024"/>
    <s v="24-02-2024"/>
    <x v="2"/>
    <x v="5"/>
    <s v="Furniture"/>
    <n v="32746"/>
    <n v="1"/>
    <x v="0"/>
  </r>
  <r>
    <n v="1025"/>
    <s v="05-01-2024"/>
    <x v="1"/>
    <x v="0"/>
    <s v="Electronics"/>
    <n v="53527"/>
    <n v="1"/>
    <x v="1"/>
  </r>
  <r>
    <n v="1026"/>
    <s v="24-01-2024"/>
    <x v="3"/>
    <x v="6"/>
    <s v="Electronics"/>
    <n v="54529"/>
    <n v="4"/>
    <x v="1"/>
  </r>
  <r>
    <n v="1027"/>
    <s v="14-02-2024"/>
    <x v="2"/>
    <x v="4"/>
    <s v="Electronics"/>
    <n v="57264"/>
    <n v="4"/>
    <x v="0"/>
  </r>
  <r>
    <n v="1028"/>
    <s v="16-02-2024"/>
    <x v="0"/>
    <x v="1"/>
    <s v="Furniture"/>
    <n v="36125"/>
    <n v="1"/>
    <x v="0"/>
  </r>
  <r>
    <n v="1029"/>
    <s v="07-02-2024"/>
    <x v="2"/>
    <x v="5"/>
    <s v="Furniture"/>
    <n v="9657"/>
    <n v="1"/>
    <x v="0"/>
  </r>
  <r>
    <n v="1030"/>
    <s v="14-01-2024"/>
    <x v="1"/>
    <x v="3"/>
    <s v="Electronics"/>
    <n v="59176"/>
    <n v="3"/>
    <x v="1"/>
  </r>
  <r>
    <n v="1031"/>
    <s v="05-02-2024"/>
    <x v="0"/>
    <x v="4"/>
    <s v="Electronics"/>
    <n v="58479"/>
    <n v="4"/>
    <x v="0"/>
  </r>
  <r>
    <n v="1032"/>
    <s v="22-02-2024"/>
    <x v="0"/>
    <x v="6"/>
    <s v="Electronics"/>
    <n v="47241"/>
    <n v="5"/>
    <x v="0"/>
  </r>
  <r>
    <n v="1033"/>
    <s v="15-02-2024"/>
    <x v="2"/>
    <x v="2"/>
    <s v="Furniture"/>
    <n v="51175"/>
    <n v="1"/>
    <x v="0"/>
  </r>
  <r>
    <n v="1034"/>
    <s v="16-02-2024"/>
    <x v="2"/>
    <x v="0"/>
    <s v="Electronics"/>
    <n v="42060"/>
    <n v="3"/>
    <x v="0"/>
  </r>
  <r>
    <n v="1035"/>
    <s v="15-01-2024"/>
    <x v="0"/>
    <x v="0"/>
    <s v="Electronics"/>
    <n v="34434"/>
    <n v="5"/>
    <x v="1"/>
  </r>
  <r>
    <n v="1036"/>
    <s v="12-02-2024"/>
    <x v="0"/>
    <x v="4"/>
    <s v="Electronics"/>
    <n v="31472"/>
    <n v="2"/>
    <x v="0"/>
  </r>
  <r>
    <n v="1037"/>
    <s v="12-02-2024"/>
    <x v="1"/>
    <x v="0"/>
    <s v="Electronics"/>
    <n v="13040"/>
    <n v="2"/>
    <x v="0"/>
  </r>
  <r>
    <n v="1038"/>
    <s v="05-01-2024"/>
    <x v="0"/>
    <x v="5"/>
    <s v="Furniture"/>
    <n v="6530"/>
    <n v="3"/>
    <x v="1"/>
  </r>
  <r>
    <n v="1039"/>
    <s v="31-01-2024"/>
    <x v="1"/>
    <x v="3"/>
    <s v="Electronics"/>
    <n v="30626"/>
    <n v="1"/>
    <x v="1"/>
  </r>
  <r>
    <n v="1040"/>
    <s v="04-02-2024"/>
    <x v="0"/>
    <x v="3"/>
    <s v="Electronics"/>
    <n v="38279"/>
    <n v="1"/>
    <x v="0"/>
  </r>
  <r>
    <n v="1041"/>
    <s v="15-01-2024"/>
    <x v="0"/>
    <x v="6"/>
    <s v="Electronics"/>
    <n v="47115"/>
    <n v="5"/>
    <x v="1"/>
  </r>
  <r>
    <n v="1042"/>
    <s v="11-02-2024"/>
    <x v="2"/>
    <x v="2"/>
    <s v="Furniture"/>
    <n v="5052"/>
    <n v="5"/>
    <x v="0"/>
  </r>
  <r>
    <n v="1043"/>
    <s v="06-01-2024"/>
    <x v="3"/>
    <x v="5"/>
    <s v="Furniture"/>
    <n v="20145"/>
    <n v="5"/>
    <x v="1"/>
  </r>
  <r>
    <n v="1044"/>
    <s v="27-01-2024"/>
    <x v="3"/>
    <x v="1"/>
    <s v="Furniture"/>
    <n v="20342"/>
    <n v="4"/>
    <x v="1"/>
  </r>
  <r>
    <n v="1045"/>
    <s v="02-01-2024"/>
    <x v="3"/>
    <x v="0"/>
    <s v="Electronics"/>
    <n v="31588"/>
    <n v="5"/>
    <x v="1"/>
  </r>
  <r>
    <n v="1046"/>
    <s v="06-01-2024"/>
    <x v="3"/>
    <x v="6"/>
    <s v="Electronics"/>
    <n v="33191"/>
    <n v="3"/>
    <x v="1"/>
  </r>
  <r>
    <n v="1047"/>
    <s v="21-02-2024"/>
    <x v="0"/>
    <x v="1"/>
    <s v="Furniture"/>
    <n v="58381"/>
    <n v="3"/>
    <x v="0"/>
  </r>
  <r>
    <n v="1048"/>
    <s v="06-02-2024"/>
    <x v="3"/>
    <x v="1"/>
    <s v="Furniture"/>
    <n v="57644"/>
    <n v="1"/>
    <x v="0"/>
  </r>
  <r>
    <n v="1049"/>
    <s v="20-02-2024"/>
    <x v="2"/>
    <x v="6"/>
    <s v="Electronics"/>
    <n v="26454"/>
    <n v="4"/>
    <x v="0"/>
  </r>
  <r>
    <n v="1050"/>
    <s v="16-01-2024"/>
    <x v="1"/>
    <x v="5"/>
    <s v="Furniture"/>
    <n v="33760"/>
    <n v="4"/>
    <x v="1"/>
  </r>
  <r>
    <n v="1051"/>
    <s v="01-01-2024"/>
    <x v="3"/>
    <x v="4"/>
    <s v="Electronics"/>
    <n v="20029"/>
    <n v="3"/>
    <x v="1"/>
  </r>
  <r>
    <n v="1052"/>
    <s v="05-01-2024"/>
    <x v="3"/>
    <x v="2"/>
    <s v="Furniture"/>
    <n v="41804"/>
    <n v="2"/>
    <x v="1"/>
  </r>
  <r>
    <n v="1053"/>
    <s v="31-01-2024"/>
    <x v="2"/>
    <x v="3"/>
    <s v="Electronics"/>
    <n v="28451"/>
    <n v="1"/>
    <x v="1"/>
  </r>
  <r>
    <n v="1054"/>
    <s v="25-02-2024"/>
    <x v="2"/>
    <x v="1"/>
    <s v="Furniture"/>
    <n v="34703"/>
    <n v="4"/>
    <x v="0"/>
  </r>
  <r>
    <n v="1055"/>
    <s v="05-02-2024"/>
    <x v="1"/>
    <x v="5"/>
    <s v="Furniture"/>
    <n v="22494"/>
    <n v="2"/>
    <x v="0"/>
  </r>
  <r>
    <n v="1056"/>
    <s v="07-02-2024"/>
    <x v="2"/>
    <x v="0"/>
    <s v="Electronics"/>
    <n v="51578"/>
    <n v="5"/>
    <x v="0"/>
  </r>
  <r>
    <n v="1057"/>
    <s v="18-01-2024"/>
    <x v="3"/>
    <x v="3"/>
    <s v="Electronics"/>
    <n v="47401"/>
    <n v="4"/>
    <x v="1"/>
  </r>
  <r>
    <n v="1058"/>
    <s v="13-01-2024"/>
    <x v="3"/>
    <x v="2"/>
    <s v="Furniture"/>
    <n v="56829"/>
    <n v="5"/>
    <x v="1"/>
  </r>
  <r>
    <n v="1059"/>
    <s v="19-02-2024"/>
    <x v="2"/>
    <x v="6"/>
    <s v="Electronics"/>
    <n v="34482"/>
    <n v="5"/>
    <x v="0"/>
  </r>
  <r>
    <n v="1060"/>
    <s v="10-02-2024"/>
    <x v="0"/>
    <x v="6"/>
    <s v="Electronics"/>
    <n v="52952"/>
    <n v="3"/>
    <x v="0"/>
  </r>
  <r>
    <n v="1061"/>
    <s v="06-02-2024"/>
    <x v="0"/>
    <x v="5"/>
    <s v="Furniture"/>
    <n v="20257"/>
    <n v="2"/>
    <x v="0"/>
  </r>
  <r>
    <n v="1062"/>
    <s v="19-02-2024"/>
    <x v="0"/>
    <x v="3"/>
    <s v="Electronics"/>
    <n v="14812"/>
    <n v="2"/>
    <x v="0"/>
  </r>
  <r>
    <n v="1063"/>
    <s v="15-02-2024"/>
    <x v="2"/>
    <x v="0"/>
    <s v="Electronics"/>
    <n v="43389"/>
    <n v="4"/>
    <x v="0"/>
  </r>
  <r>
    <n v="1064"/>
    <s v="06-01-2024"/>
    <x v="2"/>
    <x v="1"/>
    <s v="Furniture"/>
    <n v="51337"/>
    <n v="4"/>
    <x v="1"/>
  </r>
  <r>
    <n v="1065"/>
    <s v="01-02-2024"/>
    <x v="2"/>
    <x v="5"/>
    <s v="Furniture"/>
    <n v="15119"/>
    <n v="2"/>
    <x v="0"/>
  </r>
  <r>
    <n v="1066"/>
    <s v="22-02-2024"/>
    <x v="2"/>
    <x v="3"/>
    <s v="Electronics"/>
    <n v="6950"/>
    <n v="1"/>
    <x v="0"/>
  </r>
  <r>
    <n v="1067"/>
    <s v="28-02-2024"/>
    <x v="3"/>
    <x v="0"/>
    <s v="Electronics"/>
    <n v="7280"/>
    <n v="2"/>
    <x v="0"/>
  </r>
  <r>
    <n v="1068"/>
    <s v="12-02-2024"/>
    <x v="1"/>
    <x v="3"/>
    <s v="Electronics"/>
    <n v="11112"/>
    <n v="4"/>
    <x v="0"/>
  </r>
  <r>
    <n v="1069"/>
    <s v="02-01-2024"/>
    <x v="1"/>
    <x v="6"/>
    <s v="Electronics"/>
    <n v="41855"/>
    <n v="5"/>
    <x v="1"/>
  </r>
  <r>
    <n v="1070"/>
    <s v="27-01-2024"/>
    <x v="3"/>
    <x v="0"/>
    <s v="Electronics"/>
    <n v="47469"/>
    <n v="2"/>
    <x v="1"/>
  </r>
  <r>
    <n v="1071"/>
    <s v="04-02-2024"/>
    <x v="3"/>
    <x v="2"/>
    <s v="Furniture"/>
    <n v="26240"/>
    <n v="3"/>
    <x v="0"/>
  </r>
  <r>
    <n v="1072"/>
    <s v="05-02-2024"/>
    <x v="0"/>
    <x v="2"/>
    <s v="Furniture"/>
    <n v="30507"/>
    <n v="5"/>
    <x v="0"/>
  </r>
  <r>
    <n v="1073"/>
    <s v="24-02-2024"/>
    <x v="0"/>
    <x v="6"/>
    <s v="Electronics"/>
    <n v="34701"/>
    <n v="4"/>
    <x v="0"/>
  </r>
  <r>
    <n v="1074"/>
    <s v="05-01-2024"/>
    <x v="2"/>
    <x v="1"/>
    <s v="Furniture"/>
    <n v="24960"/>
    <n v="1"/>
    <x v="1"/>
  </r>
  <r>
    <n v="1075"/>
    <s v="04-02-2024"/>
    <x v="1"/>
    <x v="3"/>
    <s v="Electronics"/>
    <n v="6539"/>
    <n v="1"/>
    <x v="0"/>
  </r>
  <r>
    <n v="1076"/>
    <s v="12-01-2024"/>
    <x v="2"/>
    <x v="0"/>
    <s v="Electronics"/>
    <n v="23769"/>
    <n v="2"/>
    <x v="1"/>
  </r>
  <r>
    <n v="1077"/>
    <s v="25-01-2024"/>
    <x v="1"/>
    <x v="5"/>
    <s v="Furniture"/>
    <n v="50195"/>
    <n v="5"/>
    <x v="1"/>
  </r>
  <r>
    <n v="1078"/>
    <s v="12-02-2024"/>
    <x v="2"/>
    <x v="6"/>
    <s v="Electronics"/>
    <n v="23792"/>
    <n v="3"/>
    <x v="0"/>
  </r>
  <r>
    <n v="1079"/>
    <s v="21-02-2024"/>
    <x v="2"/>
    <x v="4"/>
    <s v="Electronics"/>
    <n v="25277"/>
    <n v="4"/>
    <x v="0"/>
  </r>
  <r>
    <n v="1080"/>
    <s v="02-02-2024"/>
    <x v="0"/>
    <x v="4"/>
    <s v="Electronics"/>
    <n v="49245"/>
    <n v="2"/>
    <x v="0"/>
  </r>
  <r>
    <n v="1081"/>
    <s v="10-01-2024"/>
    <x v="0"/>
    <x v="6"/>
    <s v="Electronics"/>
    <n v="20313"/>
    <n v="1"/>
    <x v="1"/>
  </r>
  <r>
    <n v="1082"/>
    <s v="04-01-2024"/>
    <x v="1"/>
    <x v="4"/>
    <s v="Electronics"/>
    <n v="15009"/>
    <n v="5"/>
    <x v="1"/>
  </r>
  <r>
    <n v="1083"/>
    <s v="20-01-2024"/>
    <x v="0"/>
    <x v="2"/>
    <s v="Furniture"/>
    <n v="30506"/>
    <n v="5"/>
    <x v="1"/>
  </r>
  <r>
    <n v="1084"/>
    <s v="01-02-2024"/>
    <x v="2"/>
    <x v="6"/>
    <s v="Electronics"/>
    <n v="10484"/>
    <n v="5"/>
    <x v="0"/>
  </r>
  <r>
    <n v="1085"/>
    <s v="31-01-2024"/>
    <x v="3"/>
    <x v="6"/>
    <s v="Electronics"/>
    <n v="56277"/>
    <n v="5"/>
    <x v="1"/>
  </r>
  <r>
    <n v="1086"/>
    <s v="20-01-2024"/>
    <x v="1"/>
    <x v="1"/>
    <s v="Furniture"/>
    <n v="25392"/>
    <n v="2"/>
    <x v="1"/>
  </r>
  <r>
    <n v="1087"/>
    <s v="02-01-2024"/>
    <x v="2"/>
    <x v="6"/>
    <s v="Electronics"/>
    <n v="37489"/>
    <n v="5"/>
    <x v="1"/>
  </r>
  <r>
    <n v="1088"/>
    <s v="23-01-2024"/>
    <x v="1"/>
    <x v="2"/>
    <s v="Furniture"/>
    <n v="35764"/>
    <n v="4"/>
    <x v="1"/>
  </r>
  <r>
    <n v="1089"/>
    <s v="18-02-2024"/>
    <x v="0"/>
    <x v="2"/>
    <s v="Furniture"/>
    <n v="6787"/>
    <n v="4"/>
    <x v="0"/>
  </r>
  <r>
    <n v="1090"/>
    <s v="20-02-2024"/>
    <x v="1"/>
    <x v="0"/>
    <s v="Electronics"/>
    <n v="18011"/>
    <n v="4"/>
    <x v="0"/>
  </r>
  <r>
    <n v="1091"/>
    <s v="29-01-2024"/>
    <x v="0"/>
    <x v="1"/>
    <s v="Furniture"/>
    <n v="41346"/>
    <n v="4"/>
    <x v="1"/>
  </r>
  <r>
    <n v="1092"/>
    <s v="02-01-2024"/>
    <x v="2"/>
    <x v="4"/>
    <s v="Electronics"/>
    <n v="19697"/>
    <n v="3"/>
    <x v="1"/>
  </r>
  <r>
    <n v="1093"/>
    <s v="13-01-2024"/>
    <x v="1"/>
    <x v="2"/>
    <s v="Furniture"/>
    <n v="31217"/>
    <n v="4"/>
    <x v="1"/>
  </r>
  <r>
    <n v="1094"/>
    <s v="31-01-2024"/>
    <x v="3"/>
    <x v="3"/>
    <s v="Electronics"/>
    <n v="25417"/>
    <n v="3"/>
    <x v="1"/>
  </r>
  <r>
    <n v="1095"/>
    <s v="23-01-2024"/>
    <x v="2"/>
    <x v="2"/>
    <s v="Furniture"/>
    <n v="15107"/>
    <n v="5"/>
    <x v="1"/>
  </r>
  <r>
    <n v="1096"/>
    <s v="07-02-2024"/>
    <x v="1"/>
    <x v="6"/>
    <s v="Electronics"/>
    <n v="59353"/>
    <n v="4"/>
    <x v="0"/>
  </r>
  <r>
    <n v="1097"/>
    <s v="31-01-2024"/>
    <x v="0"/>
    <x v="6"/>
    <s v="Electronics"/>
    <n v="37827"/>
    <n v="5"/>
    <x v="1"/>
  </r>
  <r>
    <n v="1098"/>
    <s v="09-02-2024"/>
    <x v="0"/>
    <x v="4"/>
    <s v="Electronics"/>
    <n v="25235"/>
    <n v="4"/>
    <x v="0"/>
  </r>
  <r>
    <n v="1099"/>
    <s v="28-02-2024"/>
    <x v="0"/>
    <x v="6"/>
    <s v="Electronics"/>
    <n v="47956"/>
    <n v="3"/>
    <x v="0"/>
  </r>
  <r>
    <n v="1100"/>
    <s v="02-01-2024"/>
    <x v="3"/>
    <x v="5"/>
    <s v="Furniture"/>
    <n v="50632"/>
    <n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Z5:Z6" firstHeaderRow="1" firstDataRow="1" firstDataCol="0"/>
  <pivotFields count="8">
    <pivotField dataField="1" showAll="0"/>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5:A6" firstHeaderRow="1" firstDataRow="1" firstDataCol="0"/>
  <pivotFields count="8">
    <pivotField showAll="0"/>
    <pivotField showAll="0"/>
    <pivotField showAll="0">
      <items count="5">
        <item x="1"/>
        <item x="3"/>
        <item x="2"/>
        <item x="0"/>
        <item t="default"/>
      </items>
    </pivotField>
    <pivotField showAll="0"/>
    <pivotField showAll="0"/>
    <pivotField dataField="1" showAll="0"/>
    <pivotField showAll="0"/>
    <pivotField showAll="0"/>
  </pivotFields>
  <rowItems count="1">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L5:M8" firstHeaderRow="1" firstDataRow="1" firstDataCol="1"/>
  <pivotFields count="8">
    <pivotField showAll="0"/>
    <pivotField showAll="0"/>
    <pivotField showAll="0">
      <items count="5">
        <item x="1"/>
        <item x="3"/>
        <item x="2"/>
        <item x="0"/>
        <item t="default"/>
      </items>
    </pivotField>
    <pivotField showAll="0"/>
    <pivotField showAll="0"/>
    <pivotField dataField="1" showAll="0"/>
    <pivotField showAll="0"/>
    <pivotField axis="axisRow" showAll="0">
      <items count="3">
        <item x="1"/>
        <item x="0"/>
        <item t="default"/>
      </items>
    </pivotField>
  </pivotFields>
  <rowFields count="1">
    <field x="7"/>
  </rowFields>
  <rowItems count="3">
    <i>
      <x/>
    </i>
    <i>
      <x v="1"/>
    </i>
    <i t="grand">
      <x/>
    </i>
  </rowItems>
  <colItems count="1">
    <i/>
  </colItems>
  <dataFields count="1">
    <dataField name="Count of Sales" fld="5" subtotal="count" baseField="7"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G5:H13" firstHeaderRow="1" firstDataRow="1" firstDataCol="1"/>
  <pivotFields count="8">
    <pivotField showAll="0"/>
    <pivotField showAll="0"/>
    <pivotField showAll="0">
      <items count="5">
        <item x="1"/>
        <item x="3"/>
        <item x="2"/>
        <item x="0"/>
        <item t="default"/>
      </items>
    </pivotField>
    <pivotField axis="axisRow" showAll="0">
      <items count="8">
        <item x="5"/>
        <item x="6"/>
        <item x="4"/>
        <item x="3"/>
        <item x="1"/>
        <item x="2"/>
        <item x="0"/>
        <item t="default"/>
      </items>
    </pivotField>
    <pivotField showAll="0"/>
    <pivotField dataField="1" showAll="0"/>
    <pivotField showAll="0"/>
    <pivotField showAll="0"/>
  </pivotFields>
  <rowFields count="1">
    <field x="3"/>
  </rowFields>
  <rowItems count="8">
    <i>
      <x/>
    </i>
    <i>
      <x v="1"/>
    </i>
    <i>
      <x v="2"/>
    </i>
    <i>
      <x v="3"/>
    </i>
    <i>
      <x v="4"/>
    </i>
    <i>
      <x v="5"/>
    </i>
    <i>
      <x v="6"/>
    </i>
    <i t="grand">
      <x/>
    </i>
  </rowItems>
  <colItems count="1">
    <i/>
  </colItems>
  <dataFields count="1">
    <dataField name="Count of Sales" fld="5"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C5:D10" firstHeaderRow="1" firstDataRow="1" firstDataCol="1"/>
  <pivotFields count="8">
    <pivotField showAll="0"/>
    <pivotField showAll="0"/>
    <pivotField axis="axisRow" showAll="0">
      <items count="5">
        <item x="1"/>
        <item x="3"/>
        <item x="2"/>
        <item x="0"/>
        <item t="default"/>
      </items>
    </pivotField>
    <pivotField showAll="0">
      <items count="8">
        <item x="5"/>
        <item x="6"/>
        <item x="4"/>
        <item x="3"/>
        <item x="1"/>
        <item x="2"/>
        <item x="0"/>
        <item t="default"/>
      </items>
    </pivotField>
    <pivotField showAll="0"/>
    <pivotField dataField="1" showAll="0"/>
    <pivotField showAll="0"/>
    <pivotField showAll="0"/>
  </pivotFields>
  <rowFields count="1">
    <field x="2"/>
  </rowFields>
  <rowItems count="5">
    <i>
      <x/>
    </i>
    <i>
      <x v="1"/>
    </i>
    <i>
      <x v="2"/>
    </i>
    <i>
      <x v="3"/>
    </i>
    <i t="grand">
      <x/>
    </i>
  </rowItems>
  <colItems count="1">
    <i/>
  </colItems>
  <dataFields count="1">
    <dataField name="Count of Sales" fld="5" subtotal="count"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4:K5" firstHeaderRow="1" firstDataRow="1" firstDataCol="0"/>
  <pivotFields count="8">
    <pivotField dataField="1" showAll="0"/>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formats count="10">
    <format dxfId="37">
      <pivotArea type="all" dataOnly="0" outline="0" fieldPosition="0"/>
    </format>
    <format dxfId="36">
      <pivotArea outline="0" collapsedLevelsAreSubtotals="1" fieldPosition="0"/>
    </format>
    <format dxfId="35">
      <pivotArea dataOnly="0" labelOnly="1" outline="0" axis="axisValues" fieldPosition="0"/>
    </format>
    <format dxfId="34">
      <pivotArea outline="0" collapsedLevelsAreSubtotals="1" fieldPosition="0"/>
    </format>
    <format dxfId="22">
      <pivotArea dataOnly="0" outline="0" axis="axisValues" fieldPosition="0"/>
    </format>
    <format dxfId="21">
      <pivotArea outline="0" collapsedLevelsAreSubtotals="1" fieldPosition="0"/>
    </format>
    <format dxfId="20">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4:B5" firstHeaderRow="1" firstDataRow="1" firstDataCol="0"/>
  <pivotFields count="8">
    <pivotField showAll="0"/>
    <pivotField showAll="0"/>
    <pivotField showAll="0">
      <items count="5">
        <item x="1"/>
        <item x="3"/>
        <item x="2"/>
        <item x="0"/>
        <item t="default"/>
      </items>
    </pivotField>
    <pivotField showAll="0"/>
    <pivotField showAll="0"/>
    <pivotField dataField="1" showAll="0"/>
    <pivotField showAll="0"/>
    <pivotField showAll="0"/>
  </pivotFields>
  <rowItems count="1">
    <i/>
  </rowItems>
  <colItems count="1">
    <i/>
  </colItems>
  <dataFields count="1">
    <dataField name="Sum of Sales" fld="5" baseField="0" baseItem="0"/>
  </dataFields>
  <formats count="7">
    <format dxfId="38">
      <pivotArea dataOnly="0" labelOnly="1" outline="0" axis="axisValues" fieldPosition="0"/>
    </format>
    <format dxfId="29">
      <pivotArea type="all" dataOnly="0" outline="0" fieldPosition="0"/>
    </format>
    <format dxfId="25">
      <pivotArea outline="0" collapsedLevelsAreSubtotals="1" fieldPosition="0"/>
    </format>
    <format dxfId="24">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 tabId="5" name="PivotTable2"/>
    <pivotTable tabId="5" name="PivotTable3"/>
    <pivotTable tabId="5" name="PivotTable5"/>
    <pivotTable tabId="6" name="PivotTable6"/>
  </pivotTables>
  <data>
    <tabular pivotCacheId="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1"/>
  </pivotTables>
  <data>
    <tabular pivotCacheId="1">
      <items count="7">
        <i x="5" s="1"/>
        <i x="6" s="1"/>
        <i x="4" s="1"/>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Other1" rowHeight="241300"/>
  <slicer name="Product 1" cache="Slicer_Product" caption="Product" style="SlicerStyleOther1" rowHeight="241300"/>
</slicers>
</file>

<file path=xl/tables/table1.xml><?xml version="1.0" encoding="utf-8"?>
<table xmlns="http://schemas.openxmlformats.org/spreadsheetml/2006/main" id="1" name="Table1" displayName="Table1" ref="A1:H101" totalsRowShown="0">
  <autoFilter ref="A1:H101"/>
  <tableColumns count="8">
    <tableColumn id="1" name="Order ID"/>
    <tableColumn id="2" name="Date"/>
    <tableColumn id="3" name="Region"/>
    <tableColumn id="4" name="Product"/>
    <tableColumn id="5" name="Category"/>
    <tableColumn id="6" name="Sales"/>
    <tableColumn id="7" name="Quantity"/>
    <tableColumn id="10" name="month" dataDxfId="39">
      <calculatedColumnFormula>TEXT(B:B,"MMM")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topLeftCell="A2" workbookViewId="0">
      <selection activeCell="E11" sqref="E11"/>
    </sheetView>
  </sheetViews>
  <sheetFormatPr defaultRowHeight="15" x14ac:dyDescent="0.25"/>
  <cols>
    <col min="1" max="1" width="10.5703125" customWidth="1"/>
    <col min="2" max="2" width="12.85546875" customWidth="1"/>
    <col min="3" max="3" width="9.28515625" customWidth="1"/>
    <col min="4" max="4" width="14.28515625" customWidth="1"/>
    <col min="5" max="5" width="17.28515625" customWidth="1"/>
    <col min="6" max="6" width="12.5703125" customWidth="1"/>
    <col min="7" max="7" width="12.85546875" customWidth="1"/>
  </cols>
  <sheetData>
    <row r="1" spans="1:8" x14ac:dyDescent="0.25">
      <c r="A1" t="s">
        <v>0</v>
      </c>
      <c r="B1" t="s">
        <v>1</v>
      </c>
      <c r="C1" t="s">
        <v>2</v>
      </c>
      <c r="D1" t="s">
        <v>3</v>
      </c>
      <c r="E1" t="s">
        <v>4</v>
      </c>
      <c r="F1" t="s">
        <v>5</v>
      </c>
      <c r="G1" t="s">
        <v>6</v>
      </c>
      <c r="H1" t="s">
        <v>73</v>
      </c>
    </row>
    <row r="2" spans="1:8" x14ac:dyDescent="0.25">
      <c r="A2">
        <v>1001</v>
      </c>
      <c r="B2" t="s">
        <v>7</v>
      </c>
      <c r="C2" t="s">
        <v>8</v>
      </c>
      <c r="D2" t="s">
        <v>9</v>
      </c>
      <c r="E2" t="s">
        <v>10</v>
      </c>
      <c r="F2">
        <v>28391</v>
      </c>
      <c r="G2">
        <v>1</v>
      </c>
      <c r="H2" t="str">
        <f t="shared" ref="H2:H33" si="0">TEXT(B:B,"MMM")</f>
        <v>Feb</v>
      </c>
    </row>
    <row r="3" spans="1:8" x14ac:dyDescent="0.25">
      <c r="A3">
        <v>1002</v>
      </c>
      <c r="B3" t="s">
        <v>11</v>
      </c>
      <c r="C3" t="s">
        <v>12</v>
      </c>
      <c r="D3" t="s">
        <v>13</v>
      </c>
      <c r="E3" t="s">
        <v>14</v>
      </c>
      <c r="F3">
        <v>6213</v>
      </c>
      <c r="G3">
        <v>2</v>
      </c>
      <c r="H3" t="str">
        <f t="shared" si="0"/>
        <v>Jan</v>
      </c>
    </row>
    <row r="4" spans="1:8" x14ac:dyDescent="0.25">
      <c r="A4">
        <v>1003</v>
      </c>
      <c r="B4" t="s">
        <v>15</v>
      </c>
      <c r="C4" t="s">
        <v>16</v>
      </c>
      <c r="D4" t="s">
        <v>13</v>
      </c>
      <c r="E4" t="s">
        <v>14</v>
      </c>
      <c r="F4">
        <v>40991</v>
      </c>
      <c r="G4">
        <v>1</v>
      </c>
      <c r="H4" t="str">
        <f t="shared" si="0"/>
        <v>Feb</v>
      </c>
    </row>
    <row r="5" spans="1:8" x14ac:dyDescent="0.25">
      <c r="A5">
        <v>1004</v>
      </c>
      <c r="B5" t="s">
        <v>17</v>
      </c>
      <c r="C5" t="s">
        <v>12</v>
      </c>
      <c r="D5" t="s">
        <v>18</v>
      </c>
      <c r="E5" t="s">
        <v>14</v>
      </c>
      <c r="F5">
        <v>29978</v>
      </c>
      <c r="G5">
        <v>5</v>
      </c>
      <c r="H5" t="str">
        <f t="shared" si="0"/>
        <v>Jan</v>
      </c>
    </row>
    <row r="6" spans="1:8" x14ac:dyDescent="0.25">
      <c r="A6">
        <v>1005</v>
      </c>
      <c r="B6" t="s">
        <v>19</v>
      </c>
      <c r="C6" t="s">
        <v>8</v>
      </c>
      <c r="D6" t="s">
        <v>20</v>
      </c>
      <c r="E6" t="s">
        <v>10</v>
      </c>
      <c r="F6">
        <v>17441</v>
      </c>
      <c r="G6">
        <v>2</v>
      </c>
      <c r="H6" t="str">
        <f t="shared" si="0"/>
        <v>Feb</v>
      </c>
    </row>
    <row r="7" spans="1:8" x14ac:dyDescent="0.25">
      <c r="A7">
        <v>1006</v>
      </c>
      <c r="B7" t="s">
        <v>21</v>
      </c>
      <c r="C7" t="s">
        <v>8</v>
      </c>
      <c r="D7" t="s">
        <v>22</v>
      </c>
      <c r="E7" t="s">
        <v>10</v>
      </c>
      <c r="F7">
        <v>47890</v>
      </c>
      <c r="G7">
        <v>2</v>
      </c>
      <c r="H7" t="str">
        <f t="shared" si="0"/>
        <v>Feb</v>
      </c>
    </row>
    <row r="8" spans="1:8" x14ac:dyDescent="0.25">
      <c r="A8">
        <v>1007</v>
      </c>
      <c r="B8" t="s">
        <v>23</v>
      </c>
      <c r="C8" t="s">
        <v>24</v>
      </c>
      <c r="D8" t="s">
        <v>13</v>
      </c>
      <c r="E8" t="s">
        <v>14</v>
      </c>
      <c r="F8">
        <v>54676</v>
      </c>
      <c r="G8">
        <v>5</v>
      </c>
      <c r="H8" t="str">
        <f t="shared" si="0"/>
        <v>Feb</v>
      </c>
    </row>
    <row r="9" spans="1:8" x14ac:dyDescent="0.25">
      <c r="A9">
        <v>1008</v>
      </c>
      <c r="B9" t="s">
        <v>25</v>
      </c>
      <c r="C9" t="s">
        <v>24</v>
      </c>
      <c r="D9" t="s">
        <v>9</v>
      </c>
      <c r="E9" t="s">
        <v>10</v>
      </c>
      <c r="F9">
        <v>54221</v>
      </c>
      <c r="G9">
        <v>2</v>
      </c>
      <c r="H9" t="str">
        <f t="shared" si="0"/>
        <v>Feb</v>
      </c>
    </row>
    <row r="10" spans="1:8" x14ac:dyDescent="0.25">
      <c r="A10">
        <v>1009</v>
      </c>
      <c r="B10" t="s">
        <v>26</v>
      </c>
      <c r="C10" t="s">
        <v>16</v>
      </c>
      <c r="D10" t="s">
        <v>27</v>
      </c>
      <c r="E10" t="s">
        <v>14</v>
      </c>
      <c r="F10">
        <v>52130</v>
      </c>
      <c r="G10">
        <v>4</v>
      </c>
      <c r="H10" t="str">
        <f t="shared" si="0"/>
        <v>Jan</v>
      </c>
    </row>
    <row r="11" spans="1:8" x14ac:dyDescent="0.25">
      <c r="A11">
        <v>1010</v>
      </c>
      <c r="B11" t="s">
        <v>28</v>
      </c>
      <c r="C11" t="s">
        <v>8</v>
      </c>
      <c r="D11" t="s">
        <v>22</v>
      </c>
      <c r="E11" t="s">
        <v>10</v>
      </c>
      <c r="F11">
        <v>31187</v>
      </c>
      <c r="G11">
        <v>3</v>
      </c>
      <c r="H11" t="str">
        <f t="shared" si="0"/>
        <v>Feb</v>
      </c>
    </row>
    <row r="12" spans="1:8" x14ac:dyDescent="0.25">
      <c r="A12">
        <v>1011</v>
      </c>
      <c r="B12" t="s">
        <v>29</v>
      </c>
      <c r="C12" t="s">
        <v>12</v>
      </c>
      <c r="D12" t="s">
        <v>13</v>
      </c>
      <c r="E12" t="s">
        <v>14</v>
      </c>
      <c r="F12">
        <v>44141</v>
      </c>
      <c r="G12">
        <v>4</v>
      </c>
      <c r="H12" t="str">
        <f t="shared" si="0"/>
        <v>Feb</v>
      </c>
    </row>
    <row r="13" spans="1:8" x14ac:dyDescent="0.25">
      <c r="A13">
        <v>1012</v>
      </c>
      <c r="B13" t="s">
        <v>30</v>
      </c>
      <c r="C13" t="s">
        <v>12</v>
      </c>
      <c r="D13" t="s">
        <v>9</v>
      </c>
      <c r="E13" t="s">
        <v>10</v>
      </c>
      <c r="F13">
        <v>8385</v>
      </c>
      <c r="G13">
        <v>5</v>
      </c>
      <c r="H13" t="str">
        <f t="shared" si="0"/>
        <v>Jan</v>
      </c>
    </row>
    <row r="14" spans="1:8" x14ac:dyDescent="0.25">
      <c r="A14">
        <v>1013</v>
      </c>
      <c r="B14" t="s">
        <v>31</v>
      </c>
      <c r="C14" t="s">
        <v>12</v>
      </c>
      <c r="D14" t="s">
        <v>18</v>
      </c>
      <c r="E14" t="s">
        <v>14</v>
      </c>
      <c r="F14">
        <v>35871</v>
      </c>
      <c r="G14">
        <v>5</v>
      </c>
      <c r="H14" t="str">
        <f t="shared" si="0"/>
        <v>Feb</v>
      </c>
    </row>
    <row r="15" spans="1:8" x14ac:dyDescent="0.25">
      <c r="A15">
        <v>1014</v>
      </c>
      <c r="B15" t="s">
        <v>32</v>
      </c>
      <c r="C15" t="s">
        <v>16</v>
      </c>
      <c r="D15" t="s">
        <v>22</v>
      </c>
      <c r="E15" t="s">
        <v>10</v>
      </c>
      <c r="F15">
        <v>52144</v>
      </c>
      <c r="G15">
        <v>1</v>
      </c>
      <c r="H15" t="str">
        <f t="shared" si="0"/>
        <v>Feb</v>
      </c>
    </row>
    <row r="16" spans="1:8" x14ac:dyDescent="0.25">
      <c r="A16">
        <v>1015</v>
      </c>
      <c r="B16" t="s">
        <v>33</v>
      </c>
      <c r="C16" t="s">
        <v>16</v>
      </c>
      <c r="D16" t="s">
        <v>18</v>
      </c>
      <c r="E16" t="s">
        <v>14</v>
      </c>
      <c r="F16">
        <v>38373</v>
      </c>
      <c r="G16">
        <v>2</v>
      </c>
      <c r="H16" t="str">
        <f t="shared" si="0"/>
        <v>Jan</v>
      </c>
    </row>
    <row r="17" spans="1:8" x14ac:dyDescent="0.25">
      <c r="A17">
        <v>1016</v>
      </c>
      <c r="B17" t="s">
        <v>34</v>
      </c>
      <c r="C17" t="s">
        <v>16</v>
      </c>
      <c r="D17" t="s">
        <v>20</v>
      </c>
      <c r="E17" t="s">
        <v>10</v>
      </c>
      <c r="F17">
        <v>41995</v>
      </c>
      <c r="G17">
        <v>1</v>
      </c>
      <c r="H17" t="str">
        <f t="shared" si="0"/>
        <v>Jan</v>
      </c>
    </row>
    <row r="18" spans="1:8" x14ac:dyDescent="0.25">
      <c r="A18">
        <v>1017</v>
      </c>
      <c r="B18" t="s">
        <v>35</v>
      </c>
      <c r="C18" t="s">
        <v>12</v>
      </c>
      <c r="D18" t="s">
        <v>20</v>
      </c>
      <c r="E18" t="s">
        <v>10</v>
      </c>
      <c r="F18">
        <v>48387</v>
      </c>
      <c r="G18">
        <v>1</v>
      </c>
      <c r="H18" t="str">
        <f t="shared" si="0"/>
        <v>Jan</v>
      </c>
    </row>
    <row r="19" spans="1:8" x14ac:dyDescent="0.25">
      <c r="A19">
        <v>1018</v>
      </c>
      <c r="B19" t="s">
        <v>36</v>
      </c>
      <c r="C19" t="s">
        <v>24</v>
      </c>
      <c r="D19" t="s">
        <v>20</v>
      </c>
      <c r="E19" t="s">
        <v>10</v>
      </c>
      <c r="F19">
        <v>56487</v>
      </c>
      <c r="G19">
        <v>3</v>
      </c>
      <c r="H19" t="str">
        <f t="shared" si="0"/>
        <v>Feb</v>
      </c>
    </row>
    <row r="20" spans="1:8" x14ac:dyDescent="0.25">
      <c r="A20">
        <v>1019</v>
      </c>
      <c r="B20" t="s">
        <v>37</v>
      </c>
      <c r="C20" t="s">
        <v>12</v>
      </c>
      <c r="D20" t="s">
        <v>18</v>
      </c>
      <c r="E20" t="s">
        <v>14</v>
      </c>
      <c r="F20">
        <v>27007</v>
      </c>
      <c r="G20">
        <v>4</v>
      </c>
      <c r="H20" t="str">
        <f t="shared" si="0"/>
        <v>Jan</v>
      </c>
    </row>
    <row r="21" spans="1:8" x14ac:dyDescent="0.25">
      <c r="A21">
        <v>1020</v>
      </c>
      <c r="B21" t="s">
        <v>38</v>
      </c>
      <c r="C21" t="s">
        <v>24</v>
      </c>
      <c r="D21" t="s">
        <v>27</v>
      </c>
      <c r="E21" t="s">
        <v>14</v>
      </c>
      <c r="F21">
        <v>48079</v>
      </c>
      <c r="G21">
        <v>4</v>
      </c>
      <c r="H21" t="str">
        <f t="shared" si="0"/>
        <v>Jan</v>
      </c>
    </row>
    <row r="22" spans="1:8" x14ac:dyDescent="0.25">
      <c r="A22">
        <v>1021</v>
      </c>
      <c r="B22" t="s">
        <v>28</v>
      </c>
      <c r="C22" t="s">
        <v>16</v>
      </c>
      <c r="D22" t="s">
        <v>20</v>
      </c>
      <c r="E22" t="s">
        <v>10</v>
      </c>
      <c r="F22">
        <v>17964</v>
      </c>
      <c r="G22">
        <v>5</v>
      </c>
      <c r="H22" t="str">
        <f t="shared" si="0"/>
        <v>Feb</v>
      </c>
    </row>
    <row r="23" spans="1:8" x14ac:dyDescent="0.25">
      <c r="A23">
        <v>1022</v>
      </c>
      <c r="B23" t="s">
        <v>39</v>
      </c>
      <c r="C23" t="s">
        <v>16</v>
      </c>
      <c r="D23" t="s">
        <v>40</v>
      </c>
      <c r="E23" t="s">
        <v>10</v>
      </c>
      <c r="F23">
        <v>4481</v>
      </c>
      <c r="G23">
        <v>3</v>
      </c>
      <c r="H23" t="str">
        <f t="shared" si="0"/>
        <v>Feb</v>
      </c>
    </row>
    <row r="24" spans="1:8" x14ac:dyDescent="0.25">
      <c r="A24">
        <v>1023</v>
      </c>
      <c r="B24" t="s">
        <v>41</v>
      </c>
      <c r="C24" t="s">
        <v>12</v>
      </c>
      <c r="D24" t="s">
        <v>27</v>
      </c>
      <c r="E24" t="s">
        <v>14</v>
      </c>
      <c r="F24">
        <v>28996</v>
      </c>
      <c r="G24">
        <v>3</v>
      </c>
      <c r="H24" t="str">
        <f t="shared" si="0"/>
        <v>Jan</v>
      </c>
    </row>
    <row r="25" spans="1:8" x14ac:dyDescent="0.25">
      <c r="A25">
        <v>1024</v>
      </c>
      <c r="B25" t="s">
        <v>42</v>
      </c>
      <c r="C25" t="s">
        <v>16</v>
      </c>
      <c r="D25" t="s">
        <v>27</v>
      </c>
      <c r="E25" t="s">
        <v>14</v>
      </c>
      <c r="F25">
        <v>32746</v>
      </c>
      <c r="G25">
        <v>1</v>
      </c>
      <c r="H25" t="str">
        <f t="shared" si="0"/>
        <v>Feb</v>
      </c>
    </row>
    <row r="26" spans="1:8" x14ac:dyDescent="0.25">
      <c r="A26">
        <v>1025</v>
      </c>
      <c r="B26" t="s">
        <v>43</v>
      </c>
      <c r="C26" t="s">
        <v>12</v>
      </c>
      <c r="D26" t="s">
        <v>9</v>
      </c>
      <c r="E26" t="s">
        <v>10</v>
      </c>
      <c r="F26">
        <v>53527</v>
      </c>
      <c r="G26">
        <v>1</v>
      </c>
      <c r="H26" t="str">
        <f t="shared" si="0"/>
        <v>Jan</v>
      </c>
    </row>
    <row r="27" spans="1:8" x14ac:dyDescent="0.25">
      <c r="A27">
        <v>1026</v>
      </c>
      <c r="B27" t="s">
        <v>44</v>
      </c>
      <c r="C27" t="s">
        <v>24</v>
      </c>
      <c r="D27" t="s">
        <v>40</v>
      </c>
      <c r="E27" t="s">
        <v>10</v>
      </c>
      <c r="F27">
        <v>54529</v>
      </c>
      <c r="G27">
        <v>4</v>
      </c>
      <c r="H27" t="str">
        <f t="shared" si="0"/>
        <v>Jan</v>
      </c>
    </row>
    <row r="28" spans="1:8" x14ac:dyDescent="0.25">
      <c r="A28">
        <v>1027</v>
      </c>
      <c r="B28" t="s">
        <v>31</v>
      </c>
      <c r="C28" t="s">
        <v>16</v>
      </c>
      <c r="D28" t="s">
        <v>22</v>
      </c>
      <c r="E28" t="s">
        <v>10</v>
      </c>
      <c r="F28">
        <v>57264</v>
      </c>
      <c r="G28">
        <v>4</v>
      </c>
      <c r="H28" t="str">
        <f t="shared" si="0"/>
        <v>Feb</v>
      </c>
    </row>
    <row r="29" spans="1:8" x14ac:dyDescent="0.25">
      <c r="A29">
        <v>1028</v>
      </c>
      <c r="B29" t="s">
        <v>45</v>
      </c>
      <c r="C29" t="s">
        <v>8</v>
      </c>
      <c r="D29" t="s">
        <v>13</v>
      </c>
      <c r="E29" t="s">
        <v>14</v>
      </c>
      <c r="F29">
        <v>36125</v>
      </c>
      <c r="G29">
        <v>1</v>
      </c>
      <c r="H29" t="str">
        <f t="shared" si="0"/>
        <v>Feb</v>
      </c>
    </row>
    <row r="30" spans="1:8" x14ac:dyDescent="0.25">
      <c r="A30">
        <v>1029</v>
      </c>
      <c r="B30" t="s">
        <v>46</v>
      </c>
      <c r="C30" t="s">
        <v>16</v>
      </c>
      <c r="D30" t="s">
        <v>27</v>
      </c>
      <c r="E30" t="s">
        <v>14</v>
      </c>
      <c r="F30">
        <v>9657</v>
      </c>
      <c r="G30">
        <v>1</v>
      </c>
      <c r="H30" t="str">
        <f t="shared" si="0"/>
        <v>Feb</v>
      </c>
    </row>
    <row r="31" spans="1:8" x14ac:dyDescent="0.25">
      <c r="A31">
        <v>1030</v>
      </c>
      <c r="B31" t="s">
        <v>41</v>
      </c>
      <c r="C31" t="s">
        <v>12</v>
      </c>
      <c r="D31" t="s">
        <v>20</v>
      </c>
      <c r="E31" t="s">
        <v>10</v>
      </c>
      <c r="F31">
        <v>59176</v>
      </c>
      <c r="G31">
        <v>3</v>
      </c>
      <c r="H31" t="str">
        <f t="shared" si="0"/>
        <v>Jan</v>
      </c>
    </row>
    <row r="32" spans="1:8" x14ac:dyDescent="0.25">
      <c r="A32">
        <v>1031</v>
      </c>
      <c r="B32" t="s">
        <v>47</v>
      </c>
      <c r="C32" t="s">
        <v>8</v>
      </c>
      <c r="D32" t="s">
        <v>22</v>
      </c>
      <c r="E32" t="s">
        <v>10</v>
      </c>
      <c r="F32">
        <v>58479</v>
      </c>
      <c r="G32">
        <v>4</v>
      </c>
      <c r="H32" t="str">
        <f t="shared" si="0"/>
        <v>Feb</v>
      </c>
    </row>
    <row r="33" spans="1:8" x14ac:dyDescent="0.25">
      <c r="A33">
        <v>1032</v>
      </c>
      <c r="B33" t="s">
        <v>25</v>
      </c>
      <c r="C33" t="s">
        <v>8</v>
      </c>
      <c r="D33" t="s">
        <v>40</v>
      </c>
      <c r="E33" t="s">
        <v>10</v>
      </c>
      <c r="F33">
        <v>47241</v>
      </c>
      <c r="G33">
        <v>5</v>
      </c>
      <c r="H33" t="str">
        <f t="shared" si="0"/>
        <v>Feb</v>
      </c>
    </row>
    <row r="34" spans="1:8" x14ac:dyDescent="0.25">
      <c r="A34">
        <v>1033</v>
      </c>
      <c r="B34" t="s">
        <v>48</v>
      </c>
      <c r="C34" t="s">
        <v>16</v>
      </c>
      <c r="D34" t="s">
        <v>18</v>
      </c>
      <c r="E34" t="s">
        <v>14</v>
      </c>
      <c r="F34">
        <v>51175</v>
      </c>
      <c r="G34">
        <v>1</v>
      </c>
      <c r="H34" t="str">
        <f t="shared" ref="H34:H65" si="1">TEXT(B:B,"MMM")</f>
        <v>Feb</v>
      </c>
    </row>
    <row r="35" spans="1:8" x14ac:dyDescent="0.25">
      <c r="A35">
        <v>1034</v>
      </c>
      <c r="B35" t="s">
        <v>45</v>
      </c>
      <c r="C35" t="s">
        <v>16</v>
      </c>
      <c r="D35" t="s">
        <v>9</v>
      </c>
      <c r="E35" t="s">
        <v>10</v>
      </c>
      <c r="F35">
        <v>42060</v>
      </c>
      <c r="G35">
        <v>3</v>
      </c>
      <c r="H35" t="str">
        <f t="shared" si="1"/>
        <v>Feb</v>
      </c>
    </row>
    <row r="36" spans="1:8" x14ac:dyDescent="0.25">
      <c r="A36">
        <v>1035</v>
      </c>
      <c r="B36" t="s">
        <v>49</v>
      </c>
      <c r="C36" t="s">
        <v>8</v>
      </c>
      <c r="D36" t="s">
        <v>9</v>
      </c>
      <c r="E36" t="s">
        <v>10</v>
      </c>
      <c r="F36">
        <v>34434</v>
      </c>
      <c r="G36">
        <v>5</v>
      </c>
      <c r="H36" t="str">
        <f t="shared" si="1"/>
        <v>Jan</v>
      </c>
    </row>
    <row r="37" spans="1:8" x14ac:dyDescent="0.25">
      <c r="A37">
        <v>1036</v>
      </c>
      <c r="B37" t="s">
        <v>50</v>
      </c>
      <c r="C37" t="s">
        <v>8</v>
      </c>
      <c r="D37" t="s">
        <v>22</v>
      </c>
      <c r="E37" t="s">
        <v>10</v>
      </c>
      <c r="F37">
        <v>31472</v>
      </c>
      <c r="G37">
        <v>2</v>
      </c>
      <c r="H37" t="str">
        <f t="shared" si="1"/>
        <v>Feb</v>
      </c>
    </row>
    <row r="38" spans="1:8" x14ac:dyDescent="0.25">
      <c r="A38">
        <v>1037</v>
      </c>
      <c r="B38" t="s">
        <v>50</v>
      </c>
      <c r="C38" t="s">
        <v>12</v>
      </c>
      <c r="D38" t="s">
        <v>9</v>
      </c>
      <c r="E38" t="s">
        <v>10</v>
      </c>
      <c r="F38">
        <v>13040</v>
      </c>
      <c r="G38">
        <v>2</v>
      </c>
      <c r="H38" t="str">
        <f t="shared" si="1"/>
        <v>Feb</v>
      </c>
    </row>
    <row r="39" spans="1:8" x14ac:dyDescent="0.25">
      <c r="A39">
        <v>1038</v>
      </c>
      <c r="B39" t="s">
        <v>43</v>
      </c>
      <c r="C39" t="s">
        <v>8</v>
      </c>
      <c r="D39" t="s">
        <v>27</v>
      </c>
      <c r="E39" t="s">
        <v>14</v>
      </c>
      <c r="F39">
        <v>6530</v>
      </c>
      <c r="G39">
        <v>3</v>
      </c>
      <c r="H39" t="str">
        <f t="shared" si="1"/>
        <v>Jan</v>
      </c>
    </row>
    <row r="40" spans="1:8" x14ac:dyDescent="0.25">
      <c r="A40">
        <v>1039</v>
      </c>
      <c r="B40" t="s">
        <v>38</v>
      </c>
      <c r="C40" t="s">
        <v>12</v>
      </c>
      <c r="D40" t="s">
        <v>20</v>
      </c>
      <c r="E40" t="s">
        <v>10</v>
      </c>
      <c r="F40">
        <v>30626</v>
      </c>
      <c r="G40">
        <v>1</v>
      </c>
      <c r="H40" t="str">
        <f t="shared" si="1"/>
        <v>Jan</v>
      </c>
    </row>
    <row r="41" spans="1:8" x14ac:dyDescent="0.25">
      <c r="A41">
        <v>1040</v>
      </c>
      <c r="B41" t="s">
        <v>51</v>
      </c>
      <c r="C41" t="s">
        <v>8</v>
      </c>
      <c r="D41" t="s">
        <v>20</v>
      </c>
      <c r="E41" t="s">
        <v>10</v>
      </c>
      <c r="F41">
        <v>38279</v>
      </c>
      <c r="G41">
        <v>1</v>
      </c>
      <c r="H41" t="str">
        <f t="shared" si="1"/>
        <v>Feb</v>
      </c>
    </row>
    <row r="42" spans="1:8" x14ac:dyDescent="0.25">
      <c r="A42">
        <v>1041</v>
      </c>
      <c r="B42" t="s">
        <v>49</v>
      </c>
      <c r="C42" t="s">
        <v>8</v>
      </c>
      <c r="D42" t="s">
        <v>40</v>
      </c>
      <c r="E42" t="s">
        <v>10</v>
      </c>
      <c r="F42">
        <v>47115</v>
      </c>
      <c r="G42">
        <v>5</v>
      </c>
      <c r="H42" t="str">
        <f t="shared" si="1"/>
        <v>Jan</v>
      </c>
    </row>
    <row r="43" spans="1:8" x14ac:dyDescent="0.25">
      <c r="A43">
        <v>1042</v>
      </c>
      <c r="B43" t="s">
        <v>52</v>
      </c>
      <c r="C43" t="s">
        <v>16</v>
      </c>
      <c r="D43" t="s">
        <v>18</v>
      </c>
      <c r="E43" t="s">
        <v>14</v>
      </c>
      <c r="F43">
        <v>5052</v>
      </c>
      <c r="G43">
        <v>5</v>
      </c>
      <c r="H43" t="str">
        <f t="shared" si="1"/>
        <v>Feb</v>
      </c>
    </row>
    <row r="44" spans="1:8" x14ac:dyDescent="0.25">
      <c r="A44">
        <v>1043</v>
      </c>
      <c r="B44" t="s">
        <v>53</v>
      </c>
      <c r="C44" t="s">
        <v>24</v>
      </c>
      <c r="D44" t="s">
        <v>27</v>
      </c>
      <c r="E44" t="s">
        <v>14</v>
      </c>
      <c r="F44">
        <v>20145</v>
      </c>
      <c r="G44">
        <v>5</v>
      </c>
      <c r="H44" t="str">
        <f t="shared" si="1"/>
        <v>Jan</v>
      </c>
    </row>
    <row r="45" spans="1:8" x14ac:dyDescent="0.25">
      <c r="A45">
        <v>1044</v>
      </c>
      <c r="B45" t="s">
        <v>54</v>
      </c>
      <c r="C45" t="s">
        <v>24</v>
      </c>
      <c r="D45" t="s">
        <v>13</v>
      </c>
      <c r="E45" t="s">
        <v>14</v>
      </c>
      <c r="F45">
        <v>20342</v>
      </c>
      <c r="G45">
        <v>4</v>
      </c>
      <c r="H45" t="str">
        <f t="shared" si="1"/>
        <v>Jan</v>
      </c>
    </row>
    <row r="46" spans="1:8" x14ac:dyDescent="0.25">
      <c r="A46">
        <v>1045</v>
      </c>
      <c r="B46" t="s">
        <v>55</v>
      </c>
      <c r="C46" t="s">
        <v>24</v>
      </c>
      <c r="D46" t="s">
        <v>9</v>
      </c>
      <c r="E46" t="s">
        <v>10</v>
      </c>
      <c r="F46">
        <v>31588</v>
      </c>
      <c r="G46">
        <v>5</v>
      </c>
      <c r="H46" t="str">
        <f t="shared" si="1"/>
        <v>Jan</v>
      </c>
    </row>
    <row r="47" spans="1:8" x14ac:dyDescent="0.25">
      <c r="A47">
        <v>1046</v>
      </c>
      <c r="B47" t="s">
        <v>53</v>
      </c>
      <c r="C47" t="s">
        <v>24</v>
      </c>
      <c r="D47" t="s">
        <v>40</v>
      </c>
      <c r="E47" t="s">
        <v>10</v>
      </c>
      <c r="F47">
        <v>33191</v>
      </c>
      <c r="G47">
        <v>3</v>
      </c>
      <c r="H47" t="str">
        <f t="shared" si="1"/>
        <v>Jan</v>
      </c>
    </row>
    <row r="48" spans="1:8" x14ac:dyDescent="0.25">
      <c r="A48">
        <v>1047</v>
      </c>
      <c r="B48" t="s">
        <v>36</v>
      </c>
      <c r="C48" t="s">
        <v>8</v>
      </c>
      <c r="D48" t="s">
        <v>13</v>
      </c>
      <c r="E48" t="s">
        <v>14</v>
      </c>
      <c r="F48">
        <v>58381</v>
      </c>
      <c r="G48">
        <v>3</v>
      </c>
      <c r="H48" t="str">
        <f t="shared" si="1"/>
        <v>Feb</v>
      </c>
    </row>
    <row r="49" spans="1:8" x14ac:dyDescent="0.25">
      <c r="A49">
        <v>1048</v>
      </c>
      <c r="B49" t="s">
        <v>21</v>
      </c>
      <c r="C49" t="s">
        <v>24</v>
      </c>
      <c r="D49" t="s">
        <v>13</v>
      </c>
      <c r="E49" t="s">
        <v>14</v>
      </c>
      <c r="F49">
        <v>57644</v>
      </c>
      <c r="G49">
        <v>1</v>
      </c>
      <c r="H49" t="str">
        <f t="shared" si="1"/>
        <v>Feb</v>
      </c>
    </row>
    <row r="50" spans="1:8" x14ac:dyDescent="0.25">
      <c r="A50">
        <v>1049</v>
      </c>
      <c r="B50" t="s">
        <v>23</v>
      </c>
      <c r="C50" t="s">
        <v>16</v>
      </c>
      <c r="D50" t="s">
        <v>40</v>
      </c>
      <c r="E50" t="s">
        <v>10</v>
      </c>
      <c r="F50">
        <v>26454</v>
      </c>
      <c r="G50">
        <v>4</v>
      </c>
      <c r="H50" t="str">
        <f t="shared" si="1"/>
        <v>Feb</v>
      </c>
    </row>
    <row r="51" spans="1:8" x14ac:dyDescent="0.25">
      <c r="A51">
        <v>1050</v>
      </c>
      <c r="B51" t="s">
        <v>56</v>
      </c>
      <c r="C51" t="s">
        <v>12</v>
      </c>
      <c r="D51" t="s">
        <v>27</v>
      </c>
      <c r="E51" t="s">
        <v>14</v>
      </c>
      <c r="F51">
        <v>33760</v>
      </c>
      <c r="G51">
        <v>4</v>
      </c>
      <c r="H51" t="str">
        <f t="shared" si="1"/>
        <v>Jan</v>
      </c>
    </row>
    <row r="52" spans="1:8" x14ac:dyDescent="0.25">
      <c r="A52">
        <v>1051</v>
      </c>
      <c r="B52" t="s">
        <v>57</v>
      </c>
      <c r="C52" t="s">
        <v>24</v>
      </c>
      <c r="D52" t="s">
        <v>22</v>
      </c>
      <c r="E52" t="s">
        <v>10</v>
      </c>
      <c r="F52">
        <v>20029</v>
      </c>
      <c r="G52">
        <v>3</v>
      </c>
      <c r="H52" t="str">
        <f t="shared" si="1"/>
        <v>Jan</v>
      </c>
    </row>
    <row r="53" spans="1:8" x14ac:dyDescent="0.25">
      <c r="A53">
        <v>1052</v>
      </c>
      <c r="B53" t="s">
        <v>43</v>
      </c>
      <c r="C53" t="s">
        <v>24</v>
      </c>
      <c r="D53" t="s">
        <v>18</v>
      </c>
      <c r="E53" t="s">
        <v>14</v>
      </c>
      <c r="F53">
        <v>41804</v>
      </c>
      <c r="G53">
        <v>2</v>
      </c>
      <c r="H53" t="str">
        <f t="shared" si="1"/>
        <v>Jan</v>
      </c>
    </row>
    <row r="54" spans="1:8" x14ac:dyDescent="0.25">
      <c r="A54">
        <v>1053</v>
      </c>
      <c r="B54" t="s">
        <v>38</v>
      </c>
      <c r="C54" t="s">
        <v>16</v>
      </c>
      <c r="D54" t="s">
        <v>20</v>
      </c>
      <c r="E54" t="s">
        <v>10</v>
      </c>
      <c r="F54">
        <v>28451</v>
      </c>
      <c r="G54">
        <v>1</v>
      </c>
      <c r="H54" t="str">
        <f t="shared" si="1"/>
        <v>Jan</v>
      </c>
    </row>
    <row r="55" spans="1:8" x14ac:dyDescent="0.25">
      <c r="A55">
        <v>1054</v>
      </c>
      <c r="B55" t="s">
        <v>58</v>
      </c>
      <c r="C55" t="s">
        <v>16</v>
      </c>
      <c r="D55" t="s">
        <v>13</v>
      </c>
      <c r="E55" t="s">
        <v>14</v>
      </c>
      <c r="F55">
        <v>34703</v>
      </c>
      <c r="G55">
        <v>4</v>
      </c>
      <c r="H55" t="str">
        <f t="shared" si="1"/>
        <v>Feb</v>
      </c>
    </row>
    <row r="56" spans="1:8" x14ac:dyDescent="0.25">
      <c r="A56">
        <v>1055</v>
      </c>
      <c r="B56" t="s">
        <v>47</v>
      </c>
      <c r="C56" t="s">
        <v>12</v>
      </c>
      <c r="D56" t="s">
        <v>27</v>
      </c>
      <c r="E56" t="s">
        <v>14</v>
      </c>
      <c r="F56">
        <v>22494</v>
      </c>
      <c r="G56">
        <v>2</v>
      </c>
      <c r="H56" t="str">
        <f t="shared" si="1"/>
        <v>Feb</v>
      </c>
    </row>
    <row r="57" spans="1:8" x14ac:dyDescent="0.25">
      <c r="A57">
        <v>1056</v>
      </c>
      <c r="B57" t="s">
        <v>46</v>
      </c>
      <c r="C57" t="s">
        <v>16</v>
      </c>
      <c r="D57" t="s">
        <v>9</v>
      </c>
      <c r="E57" t="s">
        <v>10</v>
      </c>
      <c r="F57">
        <v>51578</v>
      </c>
      <c r="G57">
        <v>5</v>
      </c>
      <c r="H57" t="str">
        <f t="shared" si="1"/>
        <v>Feb</v>
      </c>
    </row>
    <row r="58" spans="1:8" x14ac:dyDescent="0.25">
      <c r="A58">
        <v>1057</v>
      </c>
      <c r="B58" t="s">
        <v>59</v>
      </c>
      <c r="C58" t="s">
        <v>24</v>
      </c>
      <c r="D58" t="s">
        <v>20</v>
      </c>
      <c r="E58" t="s">
        <v>10</v>
      </c>
      <c r="F58">
        <v>47401</v>
      </c>
      <c r="G58">
        <v>4</v>
      </c>
      <c r="H58" t="str">
        <f t="shared" si="1"/>
        <v>Jan</v>
      </c>
    </row>
    <row r="59" spans="1:8" x14ac:dyDescent="0.25">
      <c r="A59">
        <v>1058</v>
      </c>
      <c r="B59" t="s">
        <v>37</v>
      </c>
      <c r="C59" t="s">
        <v>24</v>
      </c>
      <c r="D59" t="s">
        <v>18</v>
      </c>
      <c r="E59" t="s">
        <v>14</v>
      </c>
      <c r="F59">
        <v>56829</v>
      </c>
      <c r="G59">
        <v>5</v>
      </c>
      <c r="H59" t="str">
        <f t="shared" si="1"/>
        <v>Jan</v>
      </c>
    </row>
    <row r="60" spans="1:8" x14ac:dyDescent="0.25">
      <c r="A60">
        <v>1059</v>
      </c>
      <c r="B60" t="s">
        <v>60</v>
      </c>
      <c r="C60" t="s">
        <v>16</v>
      </c>
      <c r="D60" t="s">
        <v>40</v>
      </c>
      <c r="E60" t="s">
        <v>10</v>
      </c>
      <c r="F60">
        <v>34482</v>
      </c>
      <c r="G60">
        <v>5</v>
      </c>
      <c r="H60" t="str">
        <f t="shared" si="1"/>
        <v>Feb</v>
      </c>
    </row>
    <row r="61" spans="1:8" x14ac:dyDescent="0.25">
      <c r="A61">
        <v>1060</v>
      </c>
      <c r="B61" t="s">
        <v>39</v>
      </c>
      <c r="C61" t="s">
        <v>8</v>
      </c>
      <c r="D61" t="s">
        <v>40</v>
      </c>
      <c r="E61" t="s">
        <v>10</v>
      </c>
      <c r="F61">
        <v>52952</v>
      </c>
      <c r="G61">
        <v>3</v>
      </c>
      <c r="H61" t="str">
        <f t="shared" si="1"/>
        <v>Feb</v>
      </c>
    </row>
    <row r="62" spans="1:8" x14ac:dyDescent="0.25">
      <c r="A62">
        <v>1061</v>
      </c>
      <c r="B62" t="s">
        <v>21</v>
      </c>
      <c r="C62" t="s">
        <v>8</v>
      </c>
      <c r="D62" t="s">
        <v>27</v>
      </c>
      <c r="E62" t="s">
        <v>14</v>
      </c>
      <c r="F62">
        <v>20257</v>
      </c>
      <c r="G62">
        <v>2</v>
      </c>
      <c r="H62" t="str">
        <f t="shared" si="1"/>
        <v>Feb</v>
      </c>
    </row>
    <row r="63" spans="1:8" x14ac:dyDescent="0.25">
      <c r="A63">
        <v>1062</v>
      </c>
      <c r="B63" t="s">
        <v>60</v>
      </c>
      <c r="C63" t="s">
        <v>8</v>
      </c>
      <c r="D63" t="s">
        <v>20</v>
      </c>
      <c r="E63" t="s">
        <v>10</v>
      </c>
      <c r="F63">
        <v>14812</v>
      </c>
      <c r="G63">
        <v>2</v>
      </c>
      <c r="H63" t="str">
        <f t="shared" si="1"/>
        <v>Feb</v>
      </c>
    </row>
    <row r="64" spans="1:8" x14ac:dyDescent="0.25">
      <c r="A64">
        <v>1063</v>
      </c>
      <c r="B64" t="s">
        <v>48</v>
      </c>
      <c r="C64" t="s">
        <v>16</v>
      </c>
      <c r="D64" t="s">
        <v>9</v>
      </c>
      <c r="E64" t="s">
        <v>10</v>
      </c>
      <c r="F64">
        <v>43389</v>
      </c>
      <c r="G64">
        <v>4</v>
      </c>
      <c r="H64" t="str">
        <f t="shared" si="1"/>
        <v>Feb</v>
      </c>
    </row>
    <row r="65" spans="1:8" x14ac:dyDescent="0.25">
      <c r="A65">
        <v>1064</v>
      </c>
      <c r="B65" t="s">
        <v>53</v>
      </c>
      <c r="C65" t="s">
        <v>16</v>
      </c>
      <c r="D65" t="s">
        <v>13</v>
      </c>
      <c r="E65" t="s">
        <v>14</v>
      </c>
      <c r="F65">
        <v>51337</v>
      </c>
      <c r="G65">
        <v>4</v>
      </c>
      <c r="H65" t="str">
        <f t="shared" si="1"/>
        <v>Jan</v>
      </c>
    </row>
    <row r="66" spans="1:8" x14ac:dyDescent="0.25">
      <c r="A66">
        <v>1065</v>
      </c>
      <c r="B66" t="s">
        <v>32</v>
      </c>
      <c r="C66" t="s">
        <v>16</v>
      </c>
      <c r="D66" t="s">
        <v>27</v>
      </c>
      <c r="E66" t="s">
        <v>14</v>
      </c>
      <c r="F66">
        <v>15119</v>
      </c>
      <c r="G66">
        <v>2</v>
      </c>
      <c r="H66" t="str">
        <f t="shared" ref="H66:H101" si="2">TEXT(B:B,"MMM")</f>
        <v>Feb</v>
      </c>
    </row>
    <row r="67" spans="1:8" x14ac:dyDescent="0.25">
      <c r="A67">
        <v>1066</v>
      </c>
      <c r="B67" t="s">
        <v>25</v>
      </c>
      <c r="C67" t="s">
        <v>16</v>
      </c>
      <c r="D67" t="s">
        <v>20</v>
      </c>
      <c r="E67" t="s">
        <v>10</v>
      </c>
      <c r="F67">
        <v>6950</v>
      </c>
      <c r="G67">
        <v>1</v>
      </c>
      <c r="H67" t="str">
        <f t="shared" si="2"/>
        <v>Feb</v>
      </c>
    </row>
    <row r="68" spans="1:8" x14ac:dyDescent="0.25">
      <c r="A68">
        <v>1067</v>
      </c>
      <c r="B68" t="s">
        <v>61</v>
      </c>
      <c r="C68" t="s">
        <v>24</v>
      </c>
      <c r="D68" t="s">
        <v>9</v>
      </c>
      <c r="E68" t="s">
        <v>10</v>
      </c>
      <c r="F68">
        <v>7280</v>
      </c>
      <c r="G68">
        <v>2</v>
      </c>
      <c r="H68" t="str">
        <f t="shared" si="2"/>
        <v>Feb</v>
      </c>
    </row>
    <row r="69" spans="1:8" x14ac:dyDescent="0.25">
      <c r="A69">
        <v>1068</v>
      </c>
      <c r="B69" t="s">
        <v>50</v>
      </c>
      <c r="C69" t="s">
        <v>12</v>
      </c>
      <c r="D69" t="s">
        <v>20</v>
      </c>
      <c r="E69" t="s">
        <v>10</v>
      </c>
      <c r="F69">
        <v>11112</v>
      </c>
      <c r="G69">
        <v>4</v>
      </c>
      <c r="H69" t="str">
        <f t="shared" si="2"/>
        <v>Feb</v>
      </c>
    </row>
    <row r="70" spans="1:8" x14ac:dyDescent="0.25">
      <c r="A70">
        <v>1069</v>
      </c>
      <c r="B70" t="s">
        <v>55</v>
      </c>
      <c r="C70" t="s">
        <v>12</v>
      </c>
      <c r="D70" t="s">
        <v>40</v>
      </c>
      <c r="E70" t="s">
        <v>10</v>
      </c>
      <c r="F70">
        <v>41855</v>
      </c>
      <c r="G70">
        <v>5</v>
      </c>
      <c r="H70" t="str">
        <f t="shared" si="2"/>
        <v>Jan</v>
      </c>
    </row>
    <row r="71" spans="1:8" x14ac:dyDescent="0.25">
      <c r="A71">
        <v>1070</v>
      </c>
      <c r="B71" t="s">
        <v>54</v>
      </c>
      <c r="C71" t="s">
        <v>24</v>
      </c>
      <c r="D71" t="s">
        <v>9</v>
      </c>
      <c r="E71" t="s">
        <v>10</v>
      </c>
      <c r="F71">
        <v>47469</v>
      </c>
      <c r="G71">
        <v>2</v>
      </c>
      <c r="H71" t="str">
        <f t="shared" si="2"/>
        <v>Jan</v>
      </c>
    </row>
    <row r="72" spans="1:8" x14ac:dyDescent="0.25">
      <c r="A72">
        <v>1071</v>
      </c>
      <c r="B72" t="s">
        <v>51</v>
      </c>
      <c r="C72" t="s">
        <v>24</v>
      </c>
      <c r="D72" t="s">
        <v>18</v>
      </c>
      <c r="E72" t="s">
        <v>14</v>
      </c>
      <c r="F72">
        <v>26240</v>
      </c>
      <c r="G72">
        <v>3</v>
      </c>
      <c r="H72" t="str">
        <f t="shared" si="2"/>
        <v>Feb</v>
      </c>
    </row>
    <row r="73" spans="1:8" x14ac:dyDescent="0.25">
      <c r="A73">
        <v>1072</v>
      </c>
      <c r="B73" t="s">
        <v>47</v>
      </c>
      <c r="C73" t="s">
        <v>8</v>
      </c>
      <c r="D73" t="s">
        <v>18</v>
      </c>
      <c r="E73" t="s">
        <v>14</v>
      </c>
      <c r="F73">
        <v>30507</v>
      </c>
      <c r="G73">
        <v>5</v>
      </c>
      <c r="H73" t="str">
        <f t="shared" si="2"/>
        <v>Feb</v>
      </c>
    </row>
    <row r="74" spans="1:8" x14ac:dyDescent="0.25">
      <c r="A74">
        <v>1073</v>
      </c>
      <c r="B74" t="s">
        <v>42</v>
      </c>
      <c r="C74" t="s">
        <v>8</v>
      </c>
      <c r="D74" t="s">
        <v>40</v>
      </c>
      <c r="E74" t="s">
        <v>10</v>
      </c>
      <c r="F74">
        <v>34701</v>
      </c>
      <c r="G74">
        <v>4</v>
      </c>
      <c r="H74" t="str">
        <f t="shared" si="2"/>
        <v>Feb</v>
      </c>
    </row>
    <row r="75" spans="1:8" x14ac:dyDescent="0.25">
      <c r="A75">
        <v>1074</v>
      </c>
      <c r="B75" t="s">
        <v>43</v>
      </c>
      <c r="C75" t="s">
        <v>16</v>
      </c>
      <c r="D75" t="s">
        <v>13</v>
      </c>
      <c r="E75" t="s">
        <v>14</v>
      </c>
      <c r="F75">
        <v>24960</v>
      </c>
      <c r="G75">
        <v>1</v>
      </c>
      <c r="H75" t="str">
        <f t="shared" si="2"/>
        <v>Jan</v>
      </c>
    </row>
    <row r="76" spans="1:8" x14ac:dyDescent="0.25">
      <c r="A76">
        <v>1075</v>
      </c>
      <c r="B76" t="s">
        <v>51</v>
      </c>
      <c r="C76" t="s">
        <v>12</v>
      </c>
      <c r="D76" t="s">
        <v>20</v>
      </c>
      <c r="E76" t="s">
        <v>10</v>
      </c>
      <c r="F76">
        <v>6539</v>
      </c>
      <c r="G76">
        <v>1</v>
      </c>
      <c r="H76" t="str">
        <f t="shared" si="2"/>
        <v>Feb</v>
      </c>
    </row>
    <row r="77" spans="1:8" x14ac:dyDescent="0.25">
      <c r="A77">
        <v>1076</v>
      </c>
      <c r="B77" t="s">
        <v>62</v>
      </c>
      <c r="C77" t="s">
        <v>16</v>
      </c>
      <c r="D77" t="s">
        <v>9</v>
      </c>
      <c r="E77" t="s">
        <v>10</v>
      </c>
      <c r="F77">
        <v>23769</v>
      </c>
      <c r="G77">
        <v>2</v>
      </c>
      <c r="H77" t="str">
        <f t="shared" si="2"/>
        <v>Jan</v>
      </c>
    </row>
    <row r="78" spans="1:8" x14ac:dyDescent="0.25">
      <c r="A78">
        <v>1077</v>
      </c>
      <c r="B78" t="s">
        <v>63</v>
      </c>
      <c r="C78" t="s">
        <v>12</v>
      </c>
      <c r="D78" t="s">
        <v>27</v>
      </c>
      <c r="E78" t="s">
        <v>14</v>
      </c>
      <c r="F78">
        <v>50195</v>
      </c>
      <c r="G78">
        <v>5</v>
      </c>
      <c r="H78" t="str">
        <f t="shared" si="2"/>
        <v>Jan</v>
      </c>
    </row>
    <row r="79" spans="1:8" x14ac:dyDescent="0.25">
      <c r="A79">
        <v>1078</v>
      </c>
      <c r="B79" t="s">
        <v>50</v>
      </c>
      <c r="C79" t="s">
        <v>16</v>
      </c>
      <c r="D79" t="s">
        <v>40</v>
      </c>
      <c r="E79" t="s">
        <v>10</v>
      </c>
      <c r="F79">
        <v>23792</v>
      </c>
      <c r="G79">
        <v>3</v>
      </c>
      <c r="H79" t="str">
        <f t="shared" si="2"/>
        <v>Feb</v>
      </c>
    </row>
    <row r="80" spans="1:8" x14ac:dyDescent="0.25">
      <c r="A80">
        <v>1079</v>
      </c>
      <c r="B80" t="s">
        <v>36</v>
      </c>
      <c r="C80" t="s">
        <v>16</v>
      </c>
      <c r="D80" t="s">
        <v>22</v>
      </c>
      <c r="E80" t="s">
        <v>10</v>
      </c>
      <c r="F80">
        <v>25277</v>
      </c>
      <c r="G80">
        <v>4</v>
      </c>
      <c r="H80" t="str">
        <f t="shared" si="2"/>
        <v>Feb</v>
      </c>
    </row>
    <row r="81" spans="1:8" x14ac:dyDescent="0.25">
      <c r="A81">
        <v>1080</v>
      </c>
      <c r="B81" t="s">
        <v>64</v>
      </c>
      <c r="C81" t="s">
        <v>8</v>
      </c>
      <c r="D81" t="s">
        <v>22</v>
      </c>
      <c r="E81" t="s">
        <v>10</v>
      </c>
      <c r="F81">
        <v>49245</v>
      </c>
      <c r="G81">
        <v>2</v>
      </c>
      <c r="H81" t="str">
        <f t="shared" si="2"/>
        <v>Feb</v>
      </c>
    </row>
    <row r="82" spans="1:8" x14ac:dyDescent="0.25">
      <c r="A82">
        <v>1081</v>
      </c>
      <c r="B82" t="s">
        <v>30</v>
      </c>
      <c r="C82" t="s">
        <v>8</v>
      </c>
      <c r="D82" t="s">
        <v>40</v>
      </c>
      <c r="E82" t="s">
        <v>10</v>
      </c>
      <c r="F82">
        <v>20313</v>
      </c>
      <c r="G82">
        <v>1</v>
      </c>
      <c r="H82" t="str">
        <f t="shared" si="2"/>
        <v>Jan</v>
      </c>
    </row>
    <row r="83" spans="1:8" x14ac:dyDescent="0.25">
      <c r="A83">
        <v>1082</v>
      </c>
      <c r="B83" t="s">
        <v>34</v>
      </c>
      <c r="C83" t="s">
        <v>12</v>
      </c>
      <c r="D83" t="s">
        <v>22</v>
      </c>
      <c r="E83" t="s">
        <v>10</v>
      </c>
      <c r="F83">
        <v>15009</v>
      </c>
      <c r="G83">
        <v>5</v>
      </c>
      <c r="H83" t="str">
        <f t="shared" si="2"/>
        <v>Jan</v>
      </c>
    </row>
    <row r="84" spans="1:8" x14ac:dyDescent="0.25">
      <c r="A84">
        <v>1083</v>
      </c>
      <c r="B84" t="s">
        <v>11</v>
      </c>
      <c r="C84" t="s">
        <v>8</v>
      </c>
      <c r="D84" t="s">
        <v>18</v>
      </c>
      <c r="E84" t="s">
        <v>14</v>
      </c>
      <c r="F84">
        <v>30506</v>
      </c>
      <c r="G84">
        <v>5</v>
      </c>
      <c r="H84" t="str">
        <f t="shared" si="2"/>
        <v>Jan</v>
      </c>
    </row>
    <row r="85" spans="1:8" x14ac:dyDescent="0.25">
      <c r="A85">
        <v>1084</v>
      </c>
      <c r="B85" t="s">
        <v>32</v>
      </c>
      <c r="C85" t="s">
        <v>16</v>
      </c>
      <c r="D85" t="s">
        <v>40</v>
      </c>
      <c r="E85" t="s">
        <v>10</v>
      </c>
      <c r="F85">
        <v>10484</v>
      </c>
      <c r="G85">
        <v>5</v>
      </c>
      <c r="H85" t="str">
        <f t="shared" si="2"/>
        <v>Feb</v>
      </c>
    </row>
    <row r="86" spans="1:8" x14ac:dyDescent="0.25">
      <c r="A86">
        <v>1085</v>
      </c>
      <c r="B86" t="s">
        <v>38</v>
      </c>
      <c r="C86" t="s">
        <v>24</v>
      </c>
      <c r="D86" t="s">
        <v>40</v>
      </c>
      <c r="E86" t="s">
        <v>10</v>
      </c>
      <c r="F86">
        <v>56277</v>
      </c>
      <c r="G86">
        <v>5</v>
      </c>
      <c r="H86" t="str">
        <f t="shared" si="2"/>
        <v>Jan</v>
      </c>
    </row>
    <row r="87" spans="1:8" x14ac:dyDescent="0.25">
      <c r="A87">
        <v>1086</v>
      </c>
      <c r="B87" t="s">
        <v>11</v>
      </c>
      <c r="C87" t="s">
        <v>12</v>
      </c>
      <c r="D87" t="s">
        <v>13</v>
      </c>
      <c r="E87" t="s">
        <v>14</v>
      </c>
      <c r="F87">
        <v>25392</v>
      </c>
      <c r="G87">
        <v>2</v>
      </c>
      <c r="H87" t="str">
        <f t="shared" si="2"/>
        <v>Jan</v>
      </c>
    </row>
    <row r="88" spans="1:8" x14ac:dyDescent="0.25">
      <c r="A88">
        <v>1087</v>
      </c>
      <c r="B88" t="s">
        <v>55</v>
      </c>
      <c r="C88" t="s">
        <v>16</v>
      </c>
      <c r="D88" t="s">
        <v>40</v>
      </c>
      <c r="E88" t="s">
        <v>10</v>
      </c>
      <c r="F88">
        <v>37489</v>
      </c>
      <c r="G88">
        <v>5</v>
      </c>
      <c r="H88" t="str">
        <f t="shared" si="2"/>
        <v>Jan</v>
      </c>
    </row>
    <row r="89" spans="1:8" x14ac:dyDescent="0.25">
      <c r="A89">
        <v>1088</v>
      </c>
      <c r="B89" t="s">
        <v>65</v>
      </c>
      <c r="C89" t="s">
        <v>12</v>
      </c>
      <c r="D89" t="s">
        <v>18</v>
      </c>
      <c r="E89" t="s">
        <v>14</v>
      </c>
      <c r="F89">
        <v>35764</v>
      </c>
      <c r="G89">
        <v>4</v>
      </c>
      <c r="H89" t="str">
        <f t="shared" si="2"/>
        <v>Jan</v>
      </c>
    </row>
    <row r="90" spans="1:8" x14ac:dyDescent="0.25">
      <c r="A90">
        <v>1089</v>
      </c>
      <c r="B90" t="s">
        <v>66</v>
      </c>
      <c r="C90" t="s">
        <v>8</v>
      </c>
      <c r="D90" t="s">
        <v>18</v>
      </c>
      <c r="E90" t="s">
        <v>14</v>
      </c>
      <c r="F90">
        <v>6787</v>
      </c>
      <c r="G90">
        <v>4</v>
      </c>
      <c r="H90" t="str">
        <f t="shared" si="2"/>
        <v>Feb</v>
      </c>
    </row>
    <row r="91" spans="1:8" x14ac:dyDescent="0.25">
      <c r="A91">
        <v>1090</v>
      </c>
      <c r="B91" t="s">
        <v>23</v>
      </c>
      <c r="C91" t="s">
        <v>12</v>
      </c>
      <c r="D91" t="s">
        <v>9</v>
      </c>
      <c r="E91" t="s">
        <v>10</v>
      </c>
      <c r="F91">
        <v>18011</v>
      </c>
      <c r="G91">
        <v>4</v>
      </c>
      <c r="H91" t="str">
        <f t="shared" si="2"/>
        <v>Feb</v>
      </c>
    </row>
    <row r="92" spans="1:8" x14ac:dyDescent="0.25">
      <c r="A92">
        <v>1091</v>
      </c>
      <c r="B92" t="s">
        <v>17</v>
      </c>
      <c r="C92" t="s">
        <v>8</v>
      </c>
      <c r="D92" t="s">
        <v>13</v>
      </c>
      <c r="E92" t="s">
        <v>14</v>
      </c>
      <c r="F92">
        <v>41346</v>
      </c>
      <c r="G92">
        <v>4</v>
      </c>
      <c r="H92" t="str">
        <f t="shared" si="2"/>
        <v>Jan</v>
      </c>
    </row>
    <row r="93" spans="1:8" x14ac:dyDescent="0.25">
      <c r="A93">
        <v>1092</v>
      </c>
      <c r="B93" t="s">
        <v>55</v>
      </c>
      <c r="C93" t="s">
        <v>16</v>
      </c>
      <c r="D93" t="s">
        <v>22</v>
      </c>
      <c r="E93" t="s">
        <v>10</v>
      </c>
      <c r="F93">
        <v>19697</v>
      </c>
      <c r="G93">
        <v>3</v>
      </c>
      <c r="H93" t="str">
        <f t="shared" si="2"/>
        <v>Jan</v>
      </c>
    </row>
    <row r="94" spans="1:8" x14ac:dyDescent="0.25">
      <c r="A94">
        <v>1093</v>
      </c>
      <c r="B94" t="s">
        <v>37</v>
      </c>
      <c r="C94" t="s">
        <v>12</v>
      </c>
      <c r="D94" t="s">
        <v>18</v>
      </c>
      <c r="E94" t="s">
        <v>14</v>
      </c>
      <c r="F94">
        <v>31217</v>
      </c>
      <c r="G94">
        <v>4</v>
      </c>
      <c r="H94" t="str">
        <f t="shared" si="2"/>
        <v>Jan</v>
      </c>
    </row>
    <row r="95" spans="1:8" x14ac:dyDescent="0.25">
      <c r="A95">
        <v>1094</v>
      </c>
      <c r="B95" t="s">
        <v>38</v>
      </c>
      <c r="C95" t="s">
        <v>24</v>
      </c>
      <c r="D95" t="s">
        <v>20</v>
      </c>
      <c r="E95" t="s">
        <v>10</v>
      </c>
      <c r="F95">
        <v>25417</v>
      </c>
      <c r="G95">
        <v>3</v>
      </c>
      <c r="H95" t="str">
        <f t="shared" si="2"/>
        <v>Jan</v>
      </c>
    </row>
    <row r="96" spans="1:8" x14ac:dyDescent="0.25">
      <c r="A96">
        <v>1095</v>
      </c>
      <c r="B96" t="s">
        <v>65</v>
      </c>
      <c r="C96" t="s">
        <v>16</v>
      </c>
      <c r="D96" t="s">
        <v>18</v>
      </c>
      <c r="E96" t="s">
        <v>14</v>
      </c>
      <c r="F96">
        <v>15107</v>
      </c>
      <c r="G96">
        <v>5</v>
      </c>
      <c r="H96" t="str">
        <f t="shared" si="2"/>
        <v>Jan</v>
      </c>
    </row>
    <row r="97" spans="1:8" x14ac:dyDescent="0.25">
      <c r="A97">
        <v>1096</v>
      </c>
      <c r="B97" t="s">
        <v>46</v>
      </c>
      <c r="C97" t="s">
        <v>12</v>
      </c>
      <c r="D97" t="s">
        <v>40</v>
      </c>
      <c r="E97" t="s">
        <v>10</v>
      </c>
      <c r="F97">
        <v>59353</v>
      </c>
      <c r="G97">
        <v>4</v>
      </c>
      <c r="H97" t="str">
        <f t="shared" si="2"/>
        <v>Feb</v>
      </c>
    </row>
    <row r="98" spans="1:8" x14ac:dyDescent="0.25">
      <c r="A98">
        <v>1097</v>
      </c>
      <c r="B98" t="s">
        <v>38</v>
      </c>
      <c r="C98" t="s">
        <v>8</v>
      </c>
      <c r="D98" t="s">
        <v>40</v>
      </c>
      <c r="E98" t="s">
        <v>10</v>
      </c>
      <c r="F98">
        <v>37827</v>
      </c>
      <c r="G98">
        <v>5</v>
      </c>
      <c r="H98" t="str">
        <f t="shared" si="2"/>
        <v>Jan</v>
      </c>
    </row>
    <row r="99" spans="1:8" x14ac:dyDescent="0.25">
      <c r="A99">
        <v>1098</v>
      </c>
      <c r="B99" t="s">
        <v>67</v>
      </c>
      <c r="C99" t="s">
        <v>8</v>
      </c>
      <c r="D99" t="s">
        <v>22</v>
      </c>
      <c r="E99" t="s">
        <v>10</v>
      </c>
      <c r="F99">
        <v>25235</v>
      </c>
      <c r="G99">
        <v>4</v>
      </c>
      <c r="H99" t="str">
        <f t="shared" si="2"/>
        <v>Feb</v>
      </c>
    </row>
    <row r="100" spans="1:8" x14ac:dyDescent="0.25">
      <c r="A100">
        <v>1099</v>
      </c>
      <c r="B100" t="s">
        <v>61</v>
      </c>
      <c r="C100" t="s">
        <v>8</v>
      </c>
      <c r="D100" t="s">
        <v>40</v>
      </c>
      <c r="E100" t="s">
        <v>10</v>
      </c>
      <c r="F100">
        <v>47956</v>
      </c>
      <c r="G100">
        <v>3</v>
      </c>
      <c r="H100" t="str">
        <f t="shared" si="2"/>
        <v>Feb</v>
      </c>
    </row>
    <row r="101" spans="1:8" x14ac:dyDescent="0.25">
      <c r="A101">
        <v>1100</v>
      </c>
      <c r="B101" t="s">
        <v>55</v>
      </c>
      <c r="C101" t="s">
        <v>24</v>
      </c>
      <c r="D101" t="s">
        <v>27</v>
      </c>
      <c r="E101" t="s">
        <v>14</v>
      </c>
      <c r="F101">
        <v>50632</v>
      </c>
      <c r="G101">
        <v>5</v>
      </c>
      <c r="H101" t="str">
        <f t="shared" si="2"/>
        <v>Jan</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Z13"/>
  <sheetViews>
    <sheetView topLeftCell="L4" workbookViewId="0">
      <selection activeCell="Z5" sqref="Z5:Z6"/>
    </sheetView>
  </sheetViews>
  <sheetFormatPr defaultRowHeight="15" x14ac:dyDescent="0.25"/>
  <cols>
    <col min="1" max="1" width="12.140625" customWidth="1"/>
    <col min="2" max="3" width="13.140625" customWidth="1"/>
    <col min="4" max="4" width="13.7109375" customWidth="1"/>
    <col min="5" max="5" width="16.140625" customWidth="1"/>
    <col min="7" max="7" width="13.140625" bestFit="1" customWidth="1"/>
    <col min="8" max="8" width="13.7109375" customWidth="1"/>
    <col min="12" max="12" width="13.140625" bestFit="1" customWidth="1"/>
    <col min="13" max="13" width="13.7109375" bestFit="1" customWidth="1"/>
    <col min="26" max="26" width="16.5703125" bestFit="1" customWidth="1"/>
  </cols>
  <sheetData>
    <row r="5" spans="1:26" x14ac:dyDescent="0.25">
      <c r="A5" t="s">
        <v>68</v>
      </c>
      <c r="C5" s="2" t="s">
        <v>69</v>
      </c>
      <c r="D5" t="s">
        <v>74</v>
      </c>
      <c r="G5" s="2" t="s">
        <v>69</v>
      </c>
      <c r="H5" t="s">
        <v>74</v>
      </c>
      <c r="L5" s="2" t="s">
        <v>69</v>
      </c>
      <c r="M5" t="s">
        <v>74</v>
      </c>
      <c r="Z5" t="s">
        <v>76</v>
      </c>
    </row>
    <row r="6" spans="1:26" x14ac:dyDescent="0.25">
      <c r="A6" s="1">
        <v>3360807</v>
      </c>
      <c r="C6" s="3" t="s">
        <v>12</v>
      </c>
      <c r="D6" s="1">
        <v>24</v>
      </c>
      <c r="G6" s="3" t="s">
        <v>27</v>
      </c>
      <c r="H6" s="1">
        <v>13</v>
      </c>
      <c r="L6" s="3" t="s">
        <v>72</v>
      </c>
      <c r="M6" s="1">
        <v>47</v>
      </c>
      <c r="Z6" s="1">
        <v>100</v>
      </c>
    </row>
    <row r="7" spans="1:26" x14ac:dyDescent="0.25">
      <c r="C7" s="3" t="s">
        <v>24</v>
      </c>
      <c r="D7" s="1">
        <v>20</v>
      </c>
      <c r="G7" s="3" t="s">
        <v>40</v>
      </c>
      <c r="H7" s="1">
        <v>18</v>
      </c>
      <c r="L7" s="3" t="s">
        <v>71</v>
      </c>
      <c r="M7" s="1">
        <v>53</v>
      </c>
    </row>
    <row r="8" spans="1:26" x14ac:dyDescent="0.25">
      <c r="C8" s="3" t="s">
        <v>16</v>
      </c>
      <c r="D8" s="1">
        <v>30</v>
      </c>
      <c r="G8" s="3" t="s">
        <v>22</v>
      </c>
      <c r="H8" s="1">
        <v>12</v>
      </c>
      <c r="L8" s="3" t="s">
        <v>70</v>
      </c>
      <c r="M8" s="1">
        <v>100</v>
      </c>
    </row>
    <row r="9" spans="1:26" x14ac:dyDescent="0.25">
      <c r="C9" s="3" t="s">
        <v>8</v>
      </c>
      <c r="D9" s="1">
        <v>26</v>
      </c>
      <c r="G9" s="3" t="s">
        <v>20</v>
      </c>
      <c r="H9" s="1">
        <v>15</v>
      </c>
    </row>
    <row r="10" spans="1:26" x14ac:dyDescent="0.25">
      <c r="C10" s="3" t="s">
        <v>70</v>
      </c>
      <c r="D10" s="1">
        <v>100</v>
      </c>
      <c r="G10" s="3" t="s">
        <v>13</v>
      </c>
      <c r="H10" s="1">
        <v>13</v>
      </c>
    </row>
    <row r="11" spans="1:26" x14ac:dyDescent="0.25">
      <c r="G11" s="3" t="s">
        <v>18</v>
      </c>
      <c r="H11" s="1">
        <v>15</v>
      </c>
    </row>
    <row r="12" spans="1:26" x14ac:dyDescent="0.25">
      <c r="G12" s="3" t="s">
        <v>9</v>
      </c>
      <c r="H12" s="1">
        <v>14</v>
      </c>
    </row>
    <row r="13" spans="1:26" x14ac:dyDescent="0.25">
      <c r="G13" s="3" t="s">
        <v>70</v>
      </c>
      <c r="H13" s="1">
        <v>100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9"/>
  <sheetViews>
    <sheetView tabSelected="1" topLeftCell="A7" zoomScale="55" zoomScaleNormal="55" workbookViewId="0">
      <selection activeCell="U31" sqref="U31"/>
    </sheetView>
  </sheetViews>
  <sheetFormatPr defaultRowHeight="15" x14ac:dyDescent="0.25"/>
  <cols>
    <col min="1" max="1" width="9.140625" style="4"/>
    <col min="2" max="2" width="19.5703125" style="4" customWidth="1"/>
    <col min="3" max="5" width="9.140625" style="4"/>
    <col min="6" max="6" width="16.42578125" style="4" customWidth="1"/>
    <col min="7" max="10" width="9.140625" style="4"/>
    <col min="11" max="11" width="26.5703125" style="4" customWidth="1"/>
    <col min="12" max="16384" width="9.140625" style="4"/>
  </cols>
  <sheetData>
    <row r="1" spans="2:12" ht="31.5" x14ac:dyDescent="0.5">
      <c r="B1" s="6" t="s">
        <v>75</v>
      </c>
      <c r="C1" s="6"/>
      <c r="D1" s="6"/>
      <c r="E1" s="6"/>
      <c r="F1" s="6"/>
      <c r="G1" s="6"/>
      <c r="H1" s="6"/>
      <c r="I1" s="6"/>
      <c r="J1" s="6"/>
    </row>
    <row r="4" spans="2:12" ht="23.25" x14ac:dyDescent="0.35">
      <c r="B4" s="8" t="s">
        <v>68</v>
      </c>
      <c r="K4" s="10" t="s">
        <v>76</v>
      </c>
    </row>
    <row r="5" spans="2:12" ht="26.25" x14ac:dyDescent="0.4">
      <c r="B5" s="9">
        <v>3360807</v>
      </c>
      <c r="K5" s="11">
        <v>100</v>
      </c>
    </row>
    <row r="8" spans="2:12" ht="26.25" x14ac:dyDescent="0.4">
      <c r="B8" s="10" t="s">
        <v>77</v>
      </c>
      <c r="C8" s="12">
        <f>Analysis!$D$10</f>
        <v>100</v>
      </c>
      <c r="D8" s="5"/>
      <c r="E8" s="5"/>
      <c r="F8" s="5"/>
      <c r="G8" s="5"/>
      <c r="H8" s="5"/>
      <c r="I8" s="5"/>
      <c r="J8" s="5"/>
      <c r="K8" s="10" t="s">
        <v>78</v>
      </c>
      <c r="L8" s="12">
        <f>Analysis!$H$13</f>
        <v>100</v>
      </c>
    </row>
    <row r="29" spans="2:3" ht="26.25" x14ac:dyDescent="0.4">
      <c r="B29" s="7" t="s">
        <v>79</v>
      </c>
      <c r="C29" s="13">
        <f>GETPIVOTDATA("Sales",Analysis!$L$5)</f>
        <v>100</v>
      </c>
    </row>
  </sheetData>
  <mergeCells count="1">
    <mergeCell ref="B1:J1"/>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2026-03-30T16:27:13Z</dcterms:created>
  <dcterms:modified xsi:type="dcterms:W3CDTF">2026-03-31T07:07:22Z</dcterms:modified>
</cp:coreProperties>
</file>